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Q:\DOSSIER COMMUN\EXAMEN 2026\BAC MS 2026\"/>
    </mc:Choice>
  </mc:AlternateContent>
  <xr:revisionPtr revIDLastSave="0" documentId="13_ncr:1_{036323DA-C7C6-4BDB-9183-60D029E82049}" xr6:coauthVersionLast="47" xr6:coauthVersionMax="47" xr10:uidLastSave="{00000000-0000-0000-0000-000000000000}"/>
  <bookViews>
    <workbookView xWindow="-120" yWindow="-120" windowWidth="29040" windowHeight="15720" tabRatio="983" activeTab="20" xr2:uid="{BFB40C7D-7D82-4AA2-BADE-55D9427FE1C4}"/>
  </bookViews>
  <sheets>
    <sheet name="PAGE DE GARDE " sheetId="1" r:id="rId1"/>
    <sheet name="MODELE " sheetId="35" r:id="rId2"/>
    <sheet name="synthese " sheetId="39" r:id="rId3"/>
    <sheet name="ELEVE 1" sheetId="36" r:id="rId4"/>
    <sheet name="ELEVE 2" sheetId="41" r:id="rId5"/>
    <sheet name="ELEVE 3" sheetId="42" r:id="rId6"/>
    <sheet name="ELEVE 4" sheetId="43" r:id="rId7"/>
    <sheet name="ELEVE 5" sheetId="44" r:id="rId8"/>
    <sheet name="ELEVE 6" sheetId="45" r:id="rId9"/>
    <sheet name="ELEVE 7" sheetId="46" r:id="rId10"/>
    <sheet name="ELEVE 8" sheetId="47" r:id="rId11"/>
    <sheet name="ELEVE 9" sheetId="48" r:id="rId12"/>
    <sheet name="ELEVE 10" sheetId="49" r:id="rId13"/>
    <sheet name="ELEVE 11" sheetId="50" r:id="rId14"/>
    <sheet name="ELEVE 12" sheetId="51" r:id="rId15"/>
    <sheet name="ELEVE 13" sheetId="52" r:id="rId16"/>
    <sheet name="ELEVE 14" sheetId="53" r:id="rId17"/>
    <sheet name="ELEVE 15" sheetId="54" r:id="rId18"/>
    <sheet name="ELEVE 16" sheetId="55" r:id="rId19"/>
    <sheet name="ELEVE 17" sheetId="56" r:id="rId20"/>
    <sheet name="ELEVE 18" sheetId="57" r:id="rId21"/>
    <sheet name="ELEVE 19" sheetId="58" r:id="rId22"/>
    <sheet name="ELEVE 20" sheetId="59" r:id="rId23"/>
    <sheet name="ELEVE 21" sheetId="60" r:id="rId24"/>
    <sheet name="ELEVE 22" sheetId="61" r:id="rId25"/>
    <sheet name="ELEVE 23" sheetId="62" r:id="rId26"/>
    <sheet name="ELEVE 24" sheetId="63" r:id="rId27"/>
    <sheet name="ELEVE 25" sheetId="64" r:id="rId28"/>
    <sheet name="ELEVE 26" sheetId="65" r:id="rId29"/>
    <sheet name="ELEVE 27" sheetId="68" r:id="rId30"/>
    <sheet name="ELEVE 28" sheetId="66" r:id="rId31"/>
    <sheet name="ELEVE 29" sheetId="67" r:id="rId32"/>
    <sheet name="ELEVE 30" sheetId="40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41" l="1"/>
  <c r="A6" i="41"/>
  <c r="D8" i="36"/>
  <c r="D6" i="36"/>
  <c r="D8" i="40"/>
  <c r="E6" i="40"/>
  <c r="D6" i="40"/>
  <c r="D8" i="67"/>
  <c r="E6" i="67"/>
  <c r="D6" i="67"/>
  <c r="D8" i="66"/>
  <c r="E6" i="66"/>
  <c r="D6" i="66"/>
  <c r="D8" i="68"/>
  <c r="E6" i="68"/>
  <c r="D6" i="68"/>
  <c r="D8" i="65"/>
  <c r="E6" i="65"/>
  <c r="D6" i="65"/>
  <c r="D8" i="64"/>
  <c r="E6" i="64"/>
  <c r="D6" i="64"/>
  <c r="D8" i="63"/>
  <c r="E6" i="63"/>
  <c r="D6" i="63"/>
  <c r="D8" i="62"/>
  <c r="E6" i="62"/>
  <c r="D6" i="62"/>
  <c r="D8" i="61"/>
  <c r="E6" i="61"/>
  <c r="D6" i="61"/>
  <c r="D8" i="60"/>
  <c r="E6" i="60"/>
  <c r="D6" i="60"/>
  <c r="D8" i="59"/>
  <c r="E6" i="59"/>
  <c r="D6" i="59"/>
  <c r="D8" i="58"/>
  <c r="E6" i="58"/>
  <c r="D6" i="58"/>
  <c r="D8" i="57"/>
  <c r="E6" i="57"/>
  <c r="D6" i="57"/>
  <c r="D8" i="56"/>
  <c r="E6" i="56"/>
  <c r="D6" i="56"/>
  <c r="D8" i="55"/>
  <c r="E6" i="55"/>
  <c r="D6" i="55"/>
  <c r="D8" i="54"/>
  <c r="E6" i="54"/>
  <c r="D6" i="54"/>
  <c r="D8" i="53"/>
  <c r="E6" i="53"/>
  <c r="D6" i="53"/>
  <c r="D8" i="52"/>
  <c r="E6" i="52"/>
  <c r="D6" i="52"/>
  <c r="D8" i="51"/>
  <c r="E6" i="51"/>
  <c r="D6" i="51"/>
  <c r="D8" i="50"/>
  <c r="E6" i="50"/>
  <c r="D6" i="50"/>
  <c r="D8" i="49"/>
  <c r="E6" i="49"/>
  <c r="D6" i="49"/>
  <c r="D8" i="48"/>
  <c r="E6" i="48"/>
  <c r="D6" i="48"/>
  <c r="D8" i="47"/>
  <c r="E6" i="47"/>
  <c r="D6" i="47"/>
  <c r="D8" i="46"/>
  <c r="E6" i="46"/>
  <c r="D6" i="46"/>
  <c r="D8" i="45"/>
  <c r="E6" i="45"/>
  <c r="D6" i="45"/>
  <c r="D8" i="44"/>
  <c r="E6" i="44"/>
  <c r="D6" i="44"/>
  <c r="D8" i="43"/>
  <c r="E6" i="43"/>
  <c r="D6" i="43"/>
  <c r="D6" i="42"/>
  <c r="E6" i="42"/>
  <c r="D8" i="42"/>
  <c r="D8" i="41"/>
  <c r="E6" i="41"/>
  <c r="E6" i="36"/>
  <c r="E22" i="39"/>
  <c r="E17" i="39"/>
  <c r="E12" i="39"/>
  <c r="E11" i="39"/>
  <c r="E13" i="68"/>
  <c r="E19" i="68" s="1"/>
  <c r="E28" i="39" s="1"/>
  <c r="A6" i="68"/>
  <c r="B3" i="68"/>
  <c r="E13" i="67"/>
  <c r="E19" i="67" s="1"/>
  <c r="E30" i="39" s="1"/>
  <c r="A6" i="67"/>
  <c r="B3" i="67"/>
  <c r="E13" i="66"/>
  <c r="E19" i="66" s="1"/>
  <c r="E29" i="39" s="1"/>
  <c r="A6" i="66"/>
  <c r="B3" i="66"/>
  <c r="E13" i="65"/>
  <c r="E19" i="65" s="1"/>
  <c r="E27" i="39" s="1"/>
  <c r="A6" i="65"/>
  <c r="B3" i="65"/>
  <c r="E13" i="64"/>
  <c r="E19" i="64" s="1"/>
  <c r="E26" i="39" s="1"/>
  <c r="A6" i="64"/>
  <c r="B3" i="64"/>
  <c r="E13" i="63"/>
  <c r="E19" i="63" s="1"/>
  <c r="E25" i="39" s="1"/>
  <c r="A6" i="63"/>
  <c r="B3" i="63"/>
  <c r="E13" i="62"/>
  <c r="E19" i="62" s="1"/>
  <c r="E24" i="39" s="1"/>
  <c r="A6" i="62"/>
  <c r="B3" i="62"/>
  <c r="E13" i="61"/>
  <c r="E19" i="61" s="1"/>
  <c r="E23" i="39" s="1"/>
  <c r="A6" i="61"/>
  <c r="B3" i="61"/>
  <c r="E13" i="60"/>
  <c r="E19" i="60" s="1"/>
  <c r="A6" i="60"/>
  <c r="B3" i="60"/>
  <c r="E13" i="59"/>
  <c r="E19" i="59" s="1"/>
  <c r="E21" i="39" s="1"/>
  <c r="A6" i="59"/>
  <c r="B3" i="59"/>
  <c r="E13" i="58"/>
  <c r="E19" i="58" s="1"/>
  <c r="E20" i="39" s="1"/>
  <c r="A6" i="58"/>
  <c r="B3" i="58"/>
  <c r="E13" i="57"/>
  <c r="E19" i="57" s="1"/>
  <c r="E19" i="39" s="1"/>
  <c r="A6" i="57"/>
  <c r="B3" i="57"/>
  <c r="E13" i="56"/>
  <c r="E19" i="56" s="1"/>
  <c r="E18" i="39" s="1"/>
  <c r="A6" i="56"/>
  <c r="B3" i="56"/>
  <c r="E13" i="55"/>
  <c r="E19" i="55" s="1"/>
  <c r="A6" i="55"/>
  <c r="B3" i="55"/>
  <c r="E13" i="54"/>
  <c r="E19" i="54" s="1"/>
  <c r="E16" i="39" s="1"/>
  <c r="A6" i="54"/>
  <c r="B3" i="54"/>
  <c r="E13" i="53"/>
  <c r="E19" i="53" s="1"/>
  <c r="E15" i="39" s="1"/>
  <c r="A6" i="53"/>
  <c r="B3" i="53"/>
  <c r="E13" i="52"/>
  <c r="E19" i="52" s="1"/>
  <c r="E14" i="39" s="1"/>
  <c r="A6" i="52"/>
  <c r="B3" i="52"/>
  <c r="E13" i="51"/>
  <c r="E19" i="51" s="1"/>
  <c r="E13" i="39" s="1"/>
  <c r="A6" i="51"/>
  <c r="B3" i="51"/>
  <c r="E13" i="50"/>
  <c r="E19" i="50" s="1"/>
  <c r="A6" i="50"/>
  <c r="B3" i="50"/>
  <c r="E13" i="49"/>
  <c r="E19" i="49" s="1"/>
  <c r="A6" i="49"/>
  <c r="B3" i="49"/>
  <c r="E13" i="48"/>
  <c r="E19" i="48" s="1"/>
  <c r="E10" i="39" s="1"/>
  <c r="A6" i="48"/>
  <c r="B3" i="48"/>
  <c r="E13" i="47"/>
  <c r="E19" i="47" s="1"/>
  <c r="E9" i="39" s="1"/>
  <c r="A6" i="47"/>
  <c r="B3" i="47"/>
  <c r="E13" i="46"/>
  <c r="E19" i="46" s="1"/>
  <c r="E8" i="39" s="1"/>
  <c r="A6" i="46"/>
  <c r="B3" i="46"/>
  <c r="E13" i="45"/>
  <c r="E19" i="45" s="1"/>
  <c r="E7" i="39" s="1"/>
  <c r="A6" i="45"/>
  <c r="B3" i="45"/>
  <c r="E13" i="44"/>
  <c r="E19" i="44" s="1"/>
  <c r="E6" i="39" s="1"/>
  <c r="A6" i="44"/>
  <c r="B3" i="44"/>
  <c r="E13" i="43"/>
  <c r="E19" i="43" s="1"/>
  <c r="E5" i="39" s="1"/>
  <c r="A6" i="43"/>
  <c r="B3" i="43"/>
  <c r="E13" i="42"/>
  <c r="E19" i="42" s="1"/>
  <c r="E4" i="39" s="1"/>
  <c r="A6" i="42"/>
  <c r="B3" i="42"/>
  <c r="E13" i="41"/>
  <c r="E19" i="41" s="1"/>
  <c r="E3" i="39" s="1"/>
  <c r="B3" i="41"/>
  <c r="E13" i="40"/>
  <c r="E19" i="40" s="1"/>
  <c r="E31" i="39" s="1"/>
  <c r="A6" i="40"/>
  <c r="B3" i="40"/>
  <c r="E13" i="36"/>
  <c r="E19" i="36" s="1"/>
  <c r="E13" i="35"/>
  <c r="E19" i="35" s="1"/>
  <c r="E2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A6" authorId="0" shapeId="0" xr:uid="{35CF92AF-BC68-4236-A5BB-3C1E0289DCE6}">
      <text>
        <r>
          <rPr>
            <b/>
            <sz val="9"/>
            <color indexed="81"/>
            <rFont val="Tahoma"/>
            <family val="2"/>
          </rPr>
          <t xml:space="preserve">Nom  et ville votre établissement à compléter sur feuille élève 1 - report automatique pour les autres élèves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" authorId="0" shapeId="0" xr:uid="{18377BCC-874B-48B5-9E09-89A27816EE76}">
      <text>
        <r>
          <rPr>
            <b/>
            <sz val="9"/>
            <color indexed="81"/>
            <rFont val="Tahoma"/>
            <charset val="1"/>
          </rPr>
          <t xml:space="preserve">Compléter la colonne nom et prenom sur la feuille synthese - report automatique sur les fiche élève 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8" authorId="0" shapeId="0" xr:uid="{54105841-27F5-4300-A3C0-2B5400F0E1AB}">
      <text>
        <r>
          <rPr>
            <b/>
            <sz val="9"/>
            <color indexed="81"/>
            <rFont val="Tahoma"/>
            <family val="2"/>
          </rPr>
          <t xml:space="preserve">Selectionner la durée du cycle avec le menu déroulant </t>
        </r>
      </text>
    </comment>
    <comment ref="C10" authorId="0" shapeId="0" xr:uid="{09767AFE-1D90-42A6-B89C-FEC4CCE19EC6}">
      <text>
        <r>
          <rPr>
            <b/>
            <sz val="9"/>
            <color indexed="81"/>
            <rFont val="Tahoma"/>
            <family val="2"/>
          </rPr>
          <t xml:space="preserve">selectionner a l'aide du menu déroulant </t>
        </r>
      </text>
    </comment>
    <comment ref="D13" authorId="0" shapeId="0" xr:uid="{C8134B59-F891-49E1-948A-9CFD6B0A652E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  <comment ref="E13" authorId="0" shapeId="0" xr:uid="{6C9917F9-B1CA-4984-8D41-216CB9D741A1}">
      <text>
        <r>
          <rPr>
            <b/>
            <sz val="9"/>
            <color indexed="81"/>
            <rFont val="Tahoma"/>
            <family val="2"/>
          </rPr>
          <t xml:space="preserve">Calcul automatique 
</t>
        </r>
      </text>
    </comment>
    <comment ref="E19" authorId="0" shapeId="0" xr:uid="{679BC992-084E-494B-A261-AF9AF5052A4D}">
      <text>
        <r>
          <rPr>
            <b/>
            <sz val="9"/>
            <color indexed="81"/>
            <rFont val="Tahoma"/>
            <family val="2"/>
          </rPr>
          <t xml:space="preserve">Calcul automatique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1FD2670C-254B-4231-ABC1-EDFFBB25FDE0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CDBA92A0-4640-41C9-84AC-8176A2EBCFDD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A6D0C2A4-0858-4085-8E4D-EB6BD12B754D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8327E4D7-C166-43C3-AD63-4CD6C93B3E32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8AF523F8-2586-4F2F-9C0F-BE14BB2B89AB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E3972E6C-C974-4960-B586-5FF01D584FB7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98491308-AB25-44BA-BC86-861D7339C9FE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9A7E6089-5880-4016-A94F-E72F74BD95F4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5A36D089-17F9-422E-8DDF-F580C5D936EA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1F48ADE5-5D26-44A2-9019-6627A6F58EA1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E126262F-0A70-434E-BA1F-D1E13080E87A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D9D1877B-AF94-4A16-A622-75E4F78033DC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ED7CBAD4-645E-49BD-8950-BFA10568EFCA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093C511D-36D2-4339-A645-4AA6A587D976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101507B7-11F9-46D9-ACB3-5F6EB6F7EB39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E6AB225D-112E-4E03-B5A1-9722EA89B612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3A001EE6-B9A4-43D8-80EB-79221123F513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DF6ADDB0-6506-4092-9EDD-46344A0C2DC2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4AAB8422-AF9A-44A3-A3F7-09823E6C03B0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A1C55BE2-23C7-4BCD-B883-2861BE5D39FC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87D99914-F122-4223-81D5-7AC0E3A1BF81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33BE656F-ED5C-49A4-AA1D-9938222B4D85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C5206E6C-320F-4277-9518-26A6D6544B27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D216B274-A998-43C6-9D49-9FB2153C58CC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8C2E891A-C32D-452E-B685-4123B51CCF99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5F6D42B7-9CDC-4059-BC7E-043651AF1BDD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6D78BB85-13EE-49EB-AB96-FEEABF98284B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BA77BD73-83C6-46B4-8996-49E4965C103A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DA6355AB-68B0-485A-8FA0-A77B26BCA105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deguil</author>
  </authors>
  <commentList>
    <comment ref="D13" authorId="0" shapeId="0" xr:uid="{37D15B50-5C29-450A-96CF-7AFE3C3742EB}">
      <text>
        <r>
          <rPr>
            <b/>
            <sz val="9"/>
            <color indexed="81"/>
            <rFont val="Tahoma"/>
            <family val="2"/>
          </rPr>
          <t xml:space="preserve">1 semaine = 5 jours 
</t>
        </r>
      </text>
    </comment>
  </commentList>
</comments>
</file>

<file path=xl/sharedStrings.xml><?xml version="1.0" encoding="utf-8"?>
<sst xmlns="http://schemas.openxmlformats.org/spreadsheetml/2006/main" count="553" uniqueCount="48">
  <si>
    <t>N° Candidat</t>
  </si>
  <si>
    <t>Nom</t>
  </si>
  <si>
    <t>Prénom</t>
  </si>
  <si>
    <t>NB de semaine effectuées</t>
  </si>
  <si>
    <t xml:space="preserve">Bac 2 ans ou 3 ans </t>
  </si>
  <si>
    <t xml:space="preserve">Demande de dérogation jointe </t>
  </si>
  <si>
    <t>Observations</t>
  </si>
  <si>
    <t xml:space="preserve">CANDIDATS NE JUSTIFIANTS PAS DU NOMBRE DE SEMAINES DE PFMP ATTENDU EN FIN DE CYCLE A LA DATE D'ENVOI DU DOSSIER </t>
  </si>
  <si>
    <t>Scanner et déposer les demandes de dérogation dans le dossier dérogation sur nuage</t>
  </si>
  <si>
    <t>Entreprise d'accueil, nom et adresse</t>
  </si>
  <si>
    <t xml:space="preserve">TOTAL EN SEMAINE SUR LE CYCLE </t>
  </si>
  <si>
    <t>Date début PFMP</t>
  </si>
  <si>
    <t>Date fin PFMP</t>
  </si>
  <si>
    <t xml:space="preserve">ACADEMIE </t>
  </si>
  <si>
    <t>Session</t>
  </si>
  <si>
    <t xml:space="preserve">BACCALAUREAT PROFESSIONNEL METIERS DE LA SECURITE
</t>
  </si>
  <si>
    <t>ATTESTATION RECAPITULATIVE PFMP</t>
  </si>
  <si>
    <t xml:space="preserve">ETABLISSEMENT </t>
  </si>
  <si>
    <t>NOM ET PRENOM DU CANDIDAT</t>
  </si>
  <si>
    <t>N° CANDIDAT</t>
  </si>
  <si>
    <t>Visa établissement (en cochant cette case, l'attestation est reconnue être visée par le chef d'établissement )</t>
  </si>
  <si>
    <t>Durée du cycle du candidat</t>
  </si>
  <si>
    <t>Dérogation</t>
  </si>
  <si>
    <t>XXXXXXXXXXXXX</t>
  </si>
  <si>
    <t>YYYYYYYYYY</t>
  </si>
  <si>
    <t>3 ans</t>
  </si>
  <si>
    <t>CRF
PARIS</t>
  </si>
  <si>
    <r>
      <t xml:space="preserve">Durée effective de présence de l'élève en jours 
</t>
    </r>
    <r>
      <rPr>
        <b/>
        <sz val="11"/>
        <color rgb="FFFF0000"/>
        <rFont val="Calibri"/>
        <family val="2"/>
        <scheme val="minor"/>
      </rPr>
      <t>(1 semaine = 5 jours)</t>
    </r>
  </si>
  <si>
    <t xml:space="preserve">TOTAL EN JOURS SUR LE CYCLE </t>
  </si>
  <si>
    <t>X</t>
  </si>
  <si>
    <t>OUI</t>
  </si>
  <si>
    <r>
      <rPr>
        <sz val="10"/>
        <color theme="1"/>
        <rFont val="Calibri"/>
        <family val="2"/>
        <scheme val="minor"/>
      </rPr>
      <t>En cochant cette cas, l'établissement atteste avoir déposer la demande de dérogation</t>
    </r>
    <r>
      <rPr>
        <sz val="10"/>
        <color rgb="FFFF0000"/>
        <rFont val="Calibri"/>
        <family val="2"/>
        <scheme val="minor"/>
      </rPr>
      <t>: X</t>
    </r>
  </si>
  <si>
    <t>NOM CANDIDAT</t>
  </si>
  <si>
    <t xml:space="preserve">PRENOM CANDIDAT </t>
  </si>
  <si>
    <t xml:space="preserve">duree PFMP </t>
  </si>
  <si>
    <t>Date début PFMP/contrat</t>
  </si>
  <si>
    <t>Date fin PFMP/contrat</t>
  </si>
  <si>
    <t xml:space="preserve">Lycée XXXXXXX PARIS
</t>
  </si>
  <si>
    <t xml:space="preserve">Nom établissement - Ville </t>
  </si>
  <si>
    <t>Visa établissement (en apposant une croix à droite de cette case, l'attestation est reconnue être visée par le chef d'établissement )</t>
  </si>
  <si>
    <t>En cochant la case ci-dessus, l'établissement atteste avoir déposer la demande de dérogation:</t>
  </si>
  <si>
    <t xml:space="preserve">TOTAL EN SEMAINES SUR LE CYCLE </t>
  </si>
  <si>
    <r>
      <t xml:space="preserve">! POUR LES CANDIDATS APPRENTIS : NOTER UNIQUEMENT LA OU LES DATE(s) DE CONTRAT
</t>
    </r>
    <r>
      <rPr>
        <b/>
        <sz val="11"/>
        <rFont val="Calibri"/>
        <family val="2"/>
        <scheme val="minor"/>
      </rPr>
      <t>LE CANDIDAT DOIT ETRE SOUS STATUT D'APPRENTI LORS DU DEROULEMENT DES EPREUVES CERTIFICATIVES</t>
    </r>
  </si>
  <si>
    <t>la durée PFMP se reporte automatiquement   , vous pourrez copier/coller la durée de PFMP pour les reporter dans le fichier de synthèse classe.</t>
  </si>
  <si>
    <t>NUMERO CANDIDAT</t>
  </si>
  <si>
    <t xml:space="preserve">reporter le numero candidat, nom et prénom des élèves de votre classe par ordre alphabétique </t>
  </si>
  <si>
    <r>
      <rPr>
        <b/>
        <u/>
        <sz val="11"/>
        <color rgb="FF0070C0"/>
        <rFont val="Calibri"/>
        <family val="2"/>
        <scheme val="minor"/>
      </rPr>
      <t>Point d'attention</t>
    </r>
    <r>
      <rPr>
        <sz val="11"/>
        <color rgb="FF0070C0"/>
        <rFont val="Calibri"/>
        <family val="2"/>
        <scheme val="minor"/>
      </rPr>
      <t xml:space="preserve">:Tuto Copier/coller:
Selectionner la colonne D (durée PFMP)
Cliquer droit: copier
ouvrir le dossier de synthèse
se positionner sur la case I9
Cliquer droit: coller valeur 
</t>
    </r>
  </si>
  <si>
    <t>Statut s'apprenti pour l'ensemble du cycle de formation: justifier les dates renseignées par la production du ou des contrats d'apprentissage
Statut mixte: dates de PFMP validées et fourniture du ou des contrats d'apprentissage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</si>
</sst>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2" borderId="1" xfId="0" applyFont="1" applyFill="1" applyBorder="1"/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0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protection locked="0"/>
    </xf>
    <xf numFmtId="0" fontId="0" fillId="4" borderId="1" xfId="0" applyFill="1" applyBorder="1" applyProtection="1">
      <protection locked="0"/>
    </xf>
    <xf numFmtId="14" fontId="1" fillId="0" borderId="1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3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wrapText="1"/>
    </xf>
    <xf numFmtId="0" fontId="0" fillId="4" borderId="1" xfId="0" applyFill="1" applyBorder="1" applyAlignment="1" applyProtection="1">
      <alignment horizontal="center"/>
      <protection locked="0"/>
    </xf>
    <xf numFmtId="0" fontId="12" fillId="4" borderId="4" xfId="0" applyFont="1" applyFill="1" applyBorder="1" applyAlignment="1" applyProtection="1">
      <alignment horizontal="center" vertical="center" wrapText="1"/>
      <protection locked="0"/>
    </xf>
    <xf numFmtId="0" fontId="12" fillId="4" borderId="5" xfId="0" applyFont="1" applyFill="1" applyBorder="1" applyAlignment="1" applyProtection="1">
      <alignment horizontal="center" vertical="center"/>
      <protection locked="0"/>
    </xf>
    <xf numFmtId="0" fontId="12" fillId="4" borderId="6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18</xdr:row>
      <xdr:rowOff>133350</xdr:rowOff>
    </xdr:from>
    <xdr:to>
      <xdr:col>9</xdr:col>
      <xdr:colOff>66958</xdr:colOff>
      <xdr:row>24</xdr:row>
      <xdr:rowOff>47773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C8253F81-FCDC-4DE8-9868-D4AE2E14A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5675" y="3943350"/>
          <a:ext cx="2029108" cy="1057423"/>
        </a:xfrm>
        <a:prstGeom prst="rect">
          <a:avLst/>
        </a:prstGeom>
      </xdr:spPr>
    </xdr:pic>
    <xdr:clientData/>
  </xdr:twoCellAnchor>
  <xdr:twoCellAnchor>
    <xdr:from>
      <xdr:col>7</xdr:col>
      <xdr:colOff>247650</xdr:colOff>
      <xdr:row>17</xdr:row>
      <xdr:rowOff>95250</xdr:rowOff>
    </xdr:from>
    <xdr:to>
      <xdr:col>8</xdr:col>
      <xdr:colOff>609600</xdr:colOff>
      <xdr:row>22</xdr:row>
      <xdr:rowOff>66675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19D63086-A4E1-4601-9973-E2F7D69D5DF8}"/>
            </a:ext>
          </a:extLst>
        </xdr:cNvPr>
        <xdr:cNvCxnSpPr/>
      </xdr:nvCxnSpPr>
      <xdr:spPr>
        <a:xfrm flipH="1">
          <a:off x="7991475" y="3714750"/>
          <a:ext cx="1123950" cy="9239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5296-A8F5-4DFD-8A85-21818EFF27BA}">
  <sheetPr codeName="Feuil1"/>
  <dimension ref="A1:G24"/>
  <sheetViews>
    <sheetView workbookViewId="0">
      <selection activeCell="J6" sqref="J6"/>
    </sheetView>
  </sheetViews>
  <sheetFormatPr baseColWidth="10" defaultRowHeight="15" x14ac:dyDescent="0.25"/>
  <cols>
    <col min="1" max="1" width="18.42578125" customWidth="1"/>
    <col min="2" max="2" width="18.85546875" customWidth="1"/>
    <col min="3" max="3" width="17.140625" customWidth="1"/>
    <col min="7" max="7" width="33.28515625" customWidth="1"/>
    <col min="8" max="8" width="21.85546875" customWidth="1"/>
    <col min="9" max="9" width="20.42578125" customWidth="1"/>
    <col min="13" max="13" width="22.85546875" customWidth="1"/>
  </cols>
  <sheetData>
    <row r="1" spans="1:7" x14ac:dyDescent="0.25">
      <c r="A1" s="34" t="s">
        <v>7</v>
      </c>
      <c r="B1" s="34"/>
      <c r="C1" s="34"/>
      <c r="D1" s="34"/>
      <c r="E1" s="34"/>
      <c r="F1" s="34"/>
      <c r="G1" s="34"/>
    </row>
    <row r="2" spans="1:7" ht="54.75" customHeight="1" x14ac:dyDescent="0.25">
      <c r="A2" s="34"/>
      <c r="B2" s="34"/>
      <c r="C2" s="34"/>
      <c r="D2" s="34"/>
      <c r="E2" s="34"/>
      <c r="F2" s="34"/>
      <c r="G2" s="34"/>
    </row>
    <row r="3" spans="1:7" ht="21.75" customHeight="1" x14ac:dyDescent="0.25">
      <c r="A3" s="36" t="s">
        <v>38</v>
      </c>
      <c r="B3" s="37"/>
      <c r="C3" s="34"/>
      <c r="D3" s="34"/>
      <c r="E3" s="34"/>
      <c r="F3" s="34"/>
      <c r="G3" s="34"/>
    </row>
    <row r="5" spans="1:7" ht="28.5" customHeight="1" x14ac:dyDescent="0.25">
      <c r="A5" s="35" t="s">
        <v>8</v>
      </c>
      <c r="B5" s="35"/>
      <c r="C5" s="35"/>
      <c r="D5" s="35"/>
      <c r="E5" s="35"/>
      <c r="F5" s="35"/>
      <c r="G5" s="35"/>
    </row>
    <row r="6" spans="1:7" ht="60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</row>
    <row r="7" spans="1:7" ht="15" customHeight="1" x14ac:dyDescent="0.25">
      <c r="A7" s="2"/>
      <c r="B7" s="2"/>
      <c r="C7" s="2"/>
      <c r="D7" s="2"/>
      <c r="E7" s="2"/>
      <c r="F7" s="2"/>
      <c r="G7" s="2"/>
    </row>
    <row r="8" spans="1:7" ht="15" customHeight="1" x14ac:dyDescent="0.25">
      <c r="A8" s="2"/>
      <c r="B8" s="2"/>
      <c r="C8" s="2"/>
      <c r="D8" s="2"/>
      <c r="E8" s="2"/>
      <c r="F8" s="2"/>
      <c r="G8" s="2"/>
    </row>
    <row r="9" spans="1:7" ht="15" customHeight="1" x14ac:dyDescent="0.25">
      <c r="A9" s="2"/>
      <c r="B9" s="2"/>
      <c r="C9" s="2"/>
      <c r="D9" s="2"/>
      <c r="E9" s="2"/>
      <c r="F9" s="2"/>
      <c r="G9" s="2"/>
    </row>
    <row r="10" spans="1:7" ht="15" customHeight="1" x14ac:dyDescent="0.25">
      <c r="A10" s="2"/>
      <c r="B10" s="2"/>
      <c r="C10" s="2"/>
      <c r="D10" s="2"/>
      <c r="E10" s="2"/>
      <c r="F10" s="2"/>
      <c r="G10" s="2"/>
    </row>
    <row r="11" spans="1:7" ht="15" customHeight="1" x14ac:dyDescent="0.25">
      <c r="A11" s="2"/>
      <c r="B11" s="2"/>
      <c r="C11" s="2"/>
      <c r="D11" s="2"/>
      <c r="E11" s="2"/>
      <c r="F11" s="2"/>
      <c r="G11" s="2"/>
    </row>
    <row r="12" spans="1:7" ht="15" customHeight="1" x14ac:dyDescent="0.25">
      <c r="A12" s="2"/>
      <c r="B12" s="2"/>
      <c r="C12" s="2"/>
      <c r="D12" s="2"/>
      <c r="E12" s="2"/>
      <c r="F12" s="2"/>
      <c r="G12" s="2"/>
    </row>
    <row r="13" spans="1:7" ht="15" customHeight="1" x14ac:dyDescent="0.25">
      <c r="A13" s="2"/>
      <c r="B13" s="2"/>
      <c r="C13" s="2"/>
      <c r="D13" s="2"/>
      <c r="E13" s="2"/>
      <c r="F13" s="2"/>
      <c r="G13" s="2"/>
    </row>
    <row r="14" spans="1:7" ht="15" customHeight="1" x14ac:dyDescent="0.25">
      <c r="A14" s="2"/>
      <c r="B14" s="2"/>
      <c r="C14" s="2"/>
      <c r="D14" s="2"/>
      <c r="E14" s="2"/>
      <c r="F14" s="2"/>
      <c r="G14" s="2"/>
    </row>
    <row r="15" spans="1:7" ht="15" customHeight="1" x14ac:dyDescent="0.25">
      <c r="A15" s="2"/>
      <c r="B15" s="2"/>
      <c r="C15" s="2"/>
      <c r="D15" s="2"/>
      <c r="E15" s="2"/>
      <c r="F15" s="2"/>
      <c r="G15" s="2"/>
    </row>
    <row r="16" spans="1:7" ht="15" customHeight="1" x14ac:dyDescent="0.25">
      <c r="A16" s="2"/>
      <c r="B16" s="2"/>
      <c r="C16" s="2"/>
      <c r="D16" s="2"/>
      <c r="E16" s="2"/>
      <c r="F16" s="2"/>
      <c r="G16" s="2"/>
    </row>
    <row r="17" spans="1:7" ht="15" customHeight="1" x14ac:dyDescent="0.25">
      <c r="A17" s="2"/>
      <c r="B17" s="2"/>
      <c r="C17" s="2"/>
      <c r="D17" s="2"/>
      <c r="E17" s="2"/>
      <c r="F17" s="2"/>
      <c r="G17" s="2"/>
    </row>
    <row r="18" spans="1:7" ht="15" customHeight="1" x14ac:dyDescent="0.25">
      <c r="A18" s="2"/>
      <c r="B18" s="2"/>
      <c r="C18" s="2"/>
      <c r="D18" s="2"/>
      <c r="E18" s="2"/>
      <c r="F18" s="2"/>
      <c r="G18" s="2"/>
    </row>
    <row r="19" spans="1:7" ht="15" customHeight="1" x14ac:dyDescent="0.25">
      <c r="A19" s="2"/>
      <c r="B19" s="2"/>
      <c r="C19" s="2"/>
      <c r="D19" s="2"/>
      <c r="E19" s="2"/>
      <c r="F19" s="2"/>
      <c r="G19" s="2"/>
    </row>
    <row r="20" spans="1:7" ht="15" customHeight="1" x14ac:dyDescent="0.25">
      <c r="A20" s="2"/>
      <c r="B20" s="2"/>
      <c r="C20" s="2"/>
      <c r="D20" s="2"/>
      <c r="E20" s="2"/>
      <c r="F20" s="2"/>
      <c r="G20" s="2"/>
    </row>
    <row r="21" spans="1:7" ht="15" customHeight="1" x14ac:dyDescent="0.25">
      <c r="A21" s="2"/>
      <c r="B21" s="2"/>
      <c r="C21" s="2"/>
      <c r="D21" s="2"/>
      <c r="E21" s="2"/>
      <c r="F21" s="2"/>
      <c r="G21" s="2"/>
    </row>
    <row r="22" spans="1:7" ht="15" customHeight="1" x14ac:dyDescent="0.25">
      <c r="A22" s="2"/>
      <c r="B22" s="2"/>
      <c r="C22" s="2"/>
      <c r="D22" s="2"/>
      <c r="E22" s="2"/>
      <c r="F22" s="2"/>
      <c r="G22" s="2"/>
    </row>
    <row r="23" spans="1:7" ht="15" customHeight="1" x14ac:dyDescent="0.25">
      <c r="A23" s="2"/>
      <c r="B23" s="2"/>
      <c r="C23" s="2"/>
      <c r="D23" s="2"/>
      <c r="E23" s="2"/>
      <c r="F23" s="2"/>
      <c r="G23" s="2"/>
    </row>
    <row r="24" spans="1:7" ht="15" customHeight="1" x14ac:dyDescent="0.25">
      <c r="A24" s="2"/>
      <c r="B24" s="2"/>
      <c r="C24" s="2"/>
      <c r="D24" s="2"/>
      <c r="E24" s="2"/>
      <c r="F24" s="2"/>
      <c r="G24" s="2"/>
    </row>
  </sheetData>
  <mergeCells count="4">
    <mergeCell ref="A1:G2"/>
    <mergeCell ref="A5:G5"/>
    <mergeCell ref="A3:B3"/>
    <mergeCell ref="C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FC19-4809-4B1D-B738-137DE72F6503}">
  <sheetPr codeName="Feuil8"/>
  <dimension ref="A1:M27"/>
  <sheetViews>
    <sheetView workbookViewId="0">
      <selection activeCell="H11" sqref="H11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13" x14ac:dyDescent="0.25">
      <c r="A1" s="40" t="s">
        <v>15</v>
      </c>
      <c r="B1" s="41"/>
      <c r="C1" s="41"/>
      <c r="D1" s="41"/>
      <c r="E1" s="41"/>
    </row>
    <row r="2" spans="1:13" x14ac:dyDescent="0.25">
      <c r="A2" s="41"/>
      <c r="B2" s="41"/>
      <c r="C2" s="41"/>
      <c r="D2" s="41"/>
      <c r="E2" s="41"/>
    </row>
    <row r="3" spans="1:13" x14ac:dyDescent="0.25">
      <c r="A3" s="6" t="s">
        <v>13</v>
      </c>
      <c r="B3" s="42"/>
      <c r="C3" s="42"/>
      <c r="D3" s="11" t="s">
        <v>14</v>
      </c>
      <c r="E3" s="12">
        <v>2026</v>
      </c>
    </row>
    <row r="4" spans="1:13" x14ac:dyDescent="0.25">
      <c r="A4" s="43" t="s">
        <v>16</v>
      </c>
      <c r="B4" s="43"/>
      <c r="C4" s="43"/>
      <c r="D4" s="43"/>
      <c r="E4" s="43"/>
    </row>
    <row r="5" spans="1:13" x14ac:dyDescent="0.25">
      <c r="A5" s="44" t="s">
        <v>17</v>
      </c>
      <c r="B5" s="44"/>
      <c r="C5" s="44"/>
      <c r="D5" s="45" t="s">
        <v>18</v>
      </c>
      <c r="E5" s="46"/>
    </row>
    <row r="6" spans="1:13" ht="42" customHeight="1" x14ac:dyDescent="0.25">
      <c r="A6" s="47" t="s">
        <v>37</v>
      </c>
      <c r="B6" s="48"/>
      <c r="C6" s="49"/>
      <c r="D6" s="13" t="s">
        <v>23</v>
      </c>
      <c r="E6" s="13" t="s">
        <v>24</v>
      </c>
      <c r="G6" s="38" t="s">
        <v>42</v>
      </c>
      <c r="H6" s="38"/>
      <c r="I6" s="38"/>
      <c r="J6" s="38"/>
    </row>
    <row r="7" spans="1:13" ht="15" customHeight="1" x14ac:dyDescent="0.25">
      <c r="A7" s="53" t="s">
        <v>20</v>
      </c>
      <c r="B7" s="56" t="s">
        <v>29</v>
      </c>
      <c r="C7" s="7" t="s">
        <v>21</v>
      </c>
      <c r="D7" s="45" t="s">
        <v>19</v>
      </c>
      <c r="E7" s="46"/>
      <c r="G7" s="38"/>
      <c r="H7" s="38"/>
      <c r="I7" s="38"/>
      <c r="J7" s="38"/>
    </row>
    <row r="8" spans="1:13" ht="15" customHeight="1" x14ac:dyDescent="0.25">
      <c r="A8" s="54"/>
      <c r="B8" s="57"/>
      <c r="C8" s="8" t="s">
        <v>25</v>
      </c>
      <c r="D8" s="59">
        <v>123456789</v>
      </c>
      <c r="E8" s="60"/>
      <c r="G8" s="38"/>
      <c r="H8" s="38"/>
      <c r="I8" s="38"/>
      <c r="J8" s="38"/>
    </row>
    <row r="9" spans="1:13" ht="15" customHeight="1" x14ac:dyDescent="0.25">
      <c r="A9" s="54"/>
      <c r="B9" s="57"/>
      <c r="C9" s="9" t="s">
        <v>22</v>
      </c>
      <c r="D9" s="61"/>
      <c r="E9" s="62"/>
      <c r="G9" s="38"/>
      <c r="H9" s="38"/>
      <c r="I9" s="38"/>
      <c r="J9" s="38"/>
    </row>
    <row r="10" spans="1:13" ht="16.5" customHeight="1" x14ac:dyDescent="0.25">
      <c r="A10" s="54"/>
      <c r="B10" s="57"/>
      <c r="C10" s="10" t="s">
        <v>30</v>
      </c>
      <c r="D10" s="61"/>
      <c r="E10" s="62"/>
      <c r="G10" s="38"/>
      <c r="H10" s="38"/>
      <c r="I10" s="38"/>
      <c r="J10" s="38"/>
    </row>
    <row r="11" spans="1:13" ht="45.75" customHeight="1" x14ac:dyDescent="0.25">
      <c r="A11" s="55"/>
      <c r="B11" s="58"/>
      <c r="C11" s="18" t="s">
        <v>31</v>
      </c>
      <c r="D11" s="63"/>
      <c r="E11" s="64"/>
    </row>
    <row r="12" spans="1:13" ht="60" x14ac:dyDescent="0.25">
      <c r="A12" s="5" t="s">
        <v>11</v>
      </c>
      <c r="B12" s="5" t="s">
        <v>12</v>
      </c>
      <c r="C12" s="1" t="s">
        <v>9</v>
      </c>
      <c r="D12" s="1" t="s">
        <v>27</v>
      </c>
      <c r="E12" s="3" t="s">
        <v>28</v>
      </c>
      <c r="I12" s="65" t="s">
        <v>47</v>
      </c>
      <c r="J12" s="66"/>
      <c r="K12" s="66"/>
      <c r="L12" s="66"/>
      <c r="M12" s="66"/>
    </row>
    <row r="13" spans="1:13" ht="35.1" customHeight="1" x14ac:dyDescent="0.25">
      <c r="A13" s="15">
        <v>45201</v>
      </c>
      <c r="B13" s="15">
        <v>45206</v>
      </c>
      <c r="C13" s="16" t="s">
        <v>26</v>
      </c>
      <c r="D13" s="17">
        <v>3</v>
      </c>
      <c r="E13" s="50">
        <f>SUM(D13:D181)</f>
        <v>38</v>
      </c>
      <c r="I13" s="66"/>
      <c r="J13" s="66"/>
      <c r="K13" s="66"/>
      <c r="L13" s="66"/>
      <c r="M13" s="66"/>
    </row>
    <row r="14" spans="1:13" ht="35.1" customHeight="1" x14ac:dyDescent="0.25">
      <c r="A14" s="15"/>
      <c r="B14" s="15"/>
      <c r="C14" s="17"/>
      <c r="D14" s="17">
        <v>15</v>
      </c>
      <c r="E14" s="51"/>
      <c r="I14" s="66"/>
      <c r="J14" s="66"/>
      <c r="K14" s="66"/>
      <c r="L14" s="66"/>
      <c r="M14" s="66"/>
    </row>
    <row r="15" spans="1:13" ht="35.1" customHeight="1" x14ac:dyDescent="0.25">
      <c r="A15" s="15"/>
      <c r="B15" s="15"/>
      <c r="C15" s="17"/>
      <c r="D15" s="17">
        <v>20</v>
      </c>
      <c r="E15" s="51"/>
    </row>
    <row r="16" spans="1:13" ht="35.1" customHeight="1" x14ac:dyDescent="0.25">
      <c r="A16" s="14"/>
      <c r="B16" s="14"/>
      <c r="C16" s="2"/>
      <c r="D16" s="2"/>
      <c r="E16" s="51"/>
    </row>
    <row r="17" spans="1:5" ht="35.1" customHeight="1" x14ac:dyDescent="0.25">
      <c r="A17" s="14"/>
      <c r="B17" s="14"/>
      <c r="C17" s="2"/>
      <c r="D17" s="2"/>
      <c r="E17" s="52"/>
    </row>
    <row r="18" spans="1:5" ht="35.1" customHeight="1" x14ac:dyDescent="0.25">
      <c r="A18" s="14"/>
      <c r="B18" s="14"/>
      <c r="C18" s="2"/>
      <c r="D18" s="2"/>
      <c r="E18" s="3" t="s">
        <v>10</v>
      </c>
    </row>
    <row r="19" spans="1:5" ht="35.1" customHeight="1" x14ac:dyDescent="0.25">
      <c r="A19" s="14"/>
      <c r="B19" s="14"/>
      <c r="C19" s="2"/>
      <c r="D19" s="2"/>
      <c r="E19" s="39">
        <f>E13/5</f>
        <v>7.6</v>
      </c>
    </row>
    <row r="20" spans="1:5" ht="35.1" customHeight="1" x14ac:dyDescent="0.25">
      <c r="A20" s="14"/>
      <c r="B20" s="14"/>
      <c r="C20" s="2"/>
      <c r="D20" s="2"/>
      <c r="E20" s="39"/>
    </row>
    <row r="21" spans="1:5" ht="35.1" customHeight="1" x14ac:dyDescent="0.25">
      <c r="A21" s="14"/>
      <c r="B21" s="14"/>
      <c r="C21" s="2"/>
      <c r="D21" s="2"/>
      <c r="E21" s="39"/>
    </row>
    <row r="22" spans="1:5" ht="35.1" customHeight="1" x14ac:dyDescent="0.25">
      <c r="A22" s="14"/>
      <c r="B22" s="14"/>
      <c r="C22" s="2"/>
      <c r="D22" s="2"/>
      <c r="E22" s="39"/>
    </row>
    <row r="23" spans="1:5" ht="35.1" customHeight="1" x14ac:dyDescent="0.25">
      <c r="A23" s="14"/>
      <c r="B23" s="14"/>
      <c r="C23" s="2"/>
      <c r="D23" s="2"/>
      <c r="E23" s="39"/>
    </row>
    <row r="24" spans="1:5" ht="35.1" customHeight="1" x14ac:dyDescent="0.25">
      <c r="A24" s="4"/>
      <c r="B24" s="4"/>
    </row>
    <row r="25" spans="1:5" ht="35.1" customHeight="1" x14ac:dyDescent="0.25">
      <c r="A25" s="4"/>
      <c r="B25" s="4"/>
    </row>
    <row r="26" spans="1:5" ht="35.1" customHeight="1" x14ac:dyDescent="0.25">
      <c r="A26" s="4"/>
      <c r="B26" s="4"/>
    </row>
    <row r="27" spans="1:5" ht="35.1" customHeight="1" x14ac:dyDescent="0.25">
      <c r="A27" s="4"/>
      <c r="B27" s="4"/>
    </row>
  </sheetData>
  <sheetProtection selectLockedCells="1"/>
  <mergeCells count="14">
    <mergeCell ref="G6:J10"/>
    <mergeCell ref="E19:E23"/>
    <mergeCell ref="A1:E2"/>
    <mergeCell ref="B3:C3"/>
    <mergeCell ref="A4:E4"/>
    <mergeCell ref="A5:C5"/>
    <mergeCell ref="D5:E5"/>
    <mergeCell ref="A6:C6"/>
    <mergeCell ref="D7:E7"/>
    <mergeCell ref="E13:E17"/>
    <mergeCell ref="A7:A11"/>
    <mergeCell ref="B7:B11"/>
    <mergeCell ref="D8:E11"/>
    <mergeCell ref="I12:M14"/>
  </mergeCells>
  <dataValidations count="3">
    <dataValidation type="list" allowBlank="1" showInputMessage="1" showErrorMessage="1" sqref="C10" xr:uid="{72FFD10E-1F96-4047-89A0-7E7DF22E7588}">
      <formula1>"OUI,NON"</formula1>
    </dataValidation>
    <dataValidation type="list" allowBlank="1" showInputMessage="1" showErrorMessage="1" sqref="C8" xr:uid="{1A22FEA5-F41A-47FD-AB18-E8F7311A2388}">
      <formula1>"1 an,2 ans,3 ans,Appr"</formula1>
    </dataValidation>
    <dataValidation type="list" allowBlank="1" showInputMessage="1" showErrorMessage="1" sqref="B3" xr:uid="{0ED07485-975B-4B3D-971C-61313D575171}">
      <formula1>"VERSAILLES,PARIS,CRETEIL"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2C8E-4122-4ABF-8C01-073498408C87}">
  <sheetPr codeName="Feuil2">
    <tabColor rgb="FFFF0000"/>
  </sheetPr>
  <dimension ref="A1:K37"/>
  <sheetViews>
    <sheetView workbookViewId="0">
      <selection activeCell="E20" sqref="E20"/>
    </sheetView>
  </sheetViews>
  <sheetFormatPr baseColWidth="10" defaultRowHeight="15" x14ac:dyDescent="0.25"/>
  <cols>
    <col min="1" max="1" width="4.5703125" customWidth="1"/>
    <col min="2" max="2" width="21.7109375" customWidth="1"/>
    <col min="3" max="3" width="32.42578125" customWidth="1"/>
    <col min="4" max="4" width="22.85546875" customWidth="1"/>
    <col min="5" max="5" width="22" customWidth="1"/>
  </cols>
  <sheetData>
    <row r="1" spans="1:11" x14ac:dyDescent="0.25">
      <c r="A1" s="1"/>
      <c r="B1" s="1" t="s">
        <v>44</v>
      </c>
      <c r="C1" s="5" t="s">
        <v>32</v>
      </c>
      <c r="D1" s="5" t="s">
        <v>33</v>
      </c>
      <c r="E1" s="5" t="s">
        <v>34</v>
      </c>
    </row>
    <row r="2" spans="1:11" ht="15" customHeight="1" x14ac:dyDescent="0.25">
      <c r="A2" s="26">
        <v>1</v>
      </c>
      <c r="B2" s="31"/>
      <c r="C2" s="32"/>
      <c r="D2" s="33"/>
      <c r="E2" s="27">
        <f>'ELEVE 1'!E19</f>
        <v>0</v>
      </c>
      <c r="G2" s="68" t="s">
        <v>45</v>
      </c>
      <c r="H2" s="68"/>
      <c r="I2" s="68"/>
    </row>
    <row r="3" spans="1:11" x14ac:dyDescent="0.25">
      <c r="A3" s="26">
        <v>2</v>
      </c>
      <c r="B3" s="31"/>
      <c r="C3" s="32"/>
      <c r="D3" s="33"/>
      <c r="E3" s="27">
        <f>'ELEVE 2'!E19</f>
        <v>0</v>
      </c>
      <c r="G3" s="68"/>
      <c r="H3" s="68"/>
      <c r="I3" s="68"/>
    </row>
    <row r="4" spans="1:11" x14ac:dyDescent="0.25">
      <c r="A4" s="26">
        <v>3</v>
      </c>
      <c r="B4" s="31"/>
      <c r="C4" s="33"/>
      <c r="D4" s="33"/>
      <c r="E4" s="27">
        <f>'ELEVE 3'!E19</f>
        <v>0</v>
      </c>
      <c r="G4" s="68"/>
      <c r="H4" s="68"/>
      <c r="I4" s="68"/>
    </row>
    <row r="5" spans="1:11" ht="15" customHeight="1" x14ac:dyDescent="0.25">
      <c r="A5" s="26">
        <v>4</v>
      </c>
      <c r="B5" s="31"/>
      <c r="C5" s="33"/>
      <c r="D5" s="33"/>
      <c r="E5" s="27">
        <f>'ELEVE 4'!E19</f>
        <v>0</v>
      </c>
      <c r="G5" s="38" t="s">
        <v>43</v>
      </c>
      <c r="H5" s="38"/>
      <c r="I5" s="38"/>
    </row>
    <row r="6" spans="1:11" x14ac:dyDescent="0.25">
      <c r="A6" s="26">
        <v>5</v>
      </c>
      <c r="B6" s="31"/>
      <c r="C6" s="33"/>
      <c r="D6" s="33"/>
      <c r="E6" s="27">
        <f>'ELEVE 5'!E19</f>
        <v>0</v>
      </c>
      <c r="G6" s="38"/>
      <c r="H6" s="38"/>
      <c r="I6" s="38"/>
    </row>
    <row r="7" spans="1:11" x14ac:dyDescent="0.25">
      <c r="A7" s="26">
        <v>6</v>
      </c>
      <c r="B7" s="31"/>
      <c r="C7" s="33"/>
      <c r="D7" s="33"/>
      <c r="E7" s="27">
        <f>'ELEVE 6'!E19</f>
        <v>0</v>
      </c>
      <c r="G7" s="38"/>
      <c r="H7" s="38"/>
      <c r="I7" s="38"/>
    </row>
    <row r="8" spans="1:11" x14ac:dyDescent="0.25">
      <c r="A8" s="26">
        <v>7</v>
      </c>
      <c r="B8" s="31"/>
      <c r="C8" s="33"/>
      <c r="D8" s="33"/>
      <c r="E8" s="27">
        <f>'ELEVE 7'!E19</f>
        <v>0</v>
      </c>
      <c r="G8" s="38"/>
      <c r="H8" s="38"/>
      <c r="I8" s="38"/>
    </row>
    <row r="9" spans="1:11" x14ac:dyDescent="0.25">
      <c r="A9" s="26">
        <v>8</v>
      </c>
      <c r="B9" s="31"/>
      <c r="C9" s="33"/>
      <c r="D9" s="33"/>
      <c r="E9" s="27">
        <f>'ELEVE 8'!E19</f>
        <v>0</v>
      </c>
      <c r="G9" s="38"/>
      <c r="H9" s="38"/>
      <c r="I9" s="38"/>
    </row>
    <row r="10" spans="1:11" x14ac:dyDescent="0.25">
      <c r="A10" s="26">
        <v>9</v>
      </c>
      <c r="B10" s="31"/>
      <c r="C10" s="33"/>
      <c r="D10" s="33"/>
      <c r="E10" s="27">
        <f>'ELEVE 9'!E19</f>
        <v>0</v>
      </c>
      <c r="G10" s="38"/>
      <c r="H10" s="38"/>
      <c r="I10" s="38"/>
    </row>
    <row r="11" spans="1:11" x14ac:dyDescent="0.25">
      <c r="A11" s="26">
        <v>10</v>
      </c>
      <c r="B11" s="31"/>
      <c r="C11" s="33"/>
      <c r="D11" s="33"/>
      <c r="E11" s="27">
        <f>'ELEVE 10'!E19</f>
        <v>0</v>
      </c>
    </row>
    <row r="12" spans="1:11" x14ac:dyDescent="0.25">
      <c r="A12" s="26">
        <v>11</v>
      </c>
      <c r="B12" s="31"/>
      <c r="C12" s="33"/>
      <c r="D12" s="33"/>
      <c r="E12" s="27">
        <f>'ELEVE 11'!E19</f>
        <v>0</v>
      </c>
    </row>
    <row r="13" spans="1:11" ht="15" customHeight="1" x14ac:dyDescent="0.25">
      <c r="A13" s="26">
        <v>12</v>
      </c>
      <c r="B13" s="31"/>
      <c r="C13" s="33"/>
      <c r="D13" s="33"/>
      <c r="E13" s="27">
        <f>'ELEVE 12'!E19</f>
        <v>0</v>
      </c>
      <c r="G13" s="67" t="s">
        <v>46</v>
      </c>
      <c r="H13" s="67"/>
      <c r="I13" s="67"/>
      <c r="J13" s="67"/>
      <c r="K13" s="67"/>
    </row>
    <row r="14" spans="1:11" x14ac:dyDescent="0.25">
      <c r="A14" s="26">
        <v>13</v>
      </c>
      <c r="B14" s="31"/>
      <c r="C14" s="33"/>
      <c r="D14" s="33"/>
      <c r="E14" s="27">
        <f>'ELEVE 13'!E19</f>
        <v>0</v>
      </c>
      <c r="G14" s="67"/>
      <c r="H14" s="67"/>
      <c r="I14" s="67"/>
      <c r="J14" s="67"/>
      <c r="K14" s="67"/>
    </row>
    <row r="15" spans="1:11" x14ac:dyDescent="0.25">
      <c r="A15" s="26">
        <v>14</v>
      </c>
      <c r="B15" s="31"/>
      <c r="C15" s="33"/>
      <c r="D15" s="33"/>
      <c r="E15" s="27">
        <f>'ELEVE 14'!E19</f>
        <v>0</v>
      </c>
      <c r="G15" s="67"/>
      <c r="H15" s="67"/>
      <c r="I15" s="67"/>
      <c r="J15" s="67"/>
      <c r="K15" s="67"/>
    </row>
    <row r="16" spans="1:11" x14ac:dyDescent="0.25">
      <c r="A16" s="26">
        <v>15</v>
      </c>
      <c r="B16" s="31"/>
      <c r="C16" s="33"/>
      <c r="D16" s="33"/>
      <c r="E16" s="27">
        <f>'ELEVE 15'!E19</f>
        <v>0</v>
      </c>
      <c r="G16" s="67"/>
      <c r="H16" s="67"/>
      <c r="I16" s="67"/>
      <c r="J16" s="67"/>
      <c r="K16" s="67"/>
    </row>
    <row r="17" spans="1:11" x14ac:dyDescent="0.25">
      <c r="A17" s="26">
        <v>16</v>
      </c>
      <c r="B17" s="31"/>
      <c r="C17" s="33"/>
      <c r="D17" s="33"/>
      <c r="E17" s="27">
        <f>'ELEVE 16'!E19</f>
        <v>0</v>
      </c>
      <c r="G17" s="67"/>
      <c r="H17" s="67"/>
      <c r="I17" s="67"/>
      <c r="J17" s="67"/>
      <c r="K17" s="67"/>
    </row>
    <row r="18" spans="1:11" x14ac:dyDescent="0.25">
      <c r="A18" s="26">
        <v>17</v>
      </c>
      <c r="B18" s="31"/>
      <c r="C18" s="33"/>
      <c r="D18" s="33"/>
      <c r="E18" s="27">
        <f>'ELEVE 17'!E19</f>
        <v>0</v>
      </c>
      <c r="G18" s="67"/>
      <c r="H18" s="67"/>
      <c r="I18" s="67"/>
      <c r="J18" s="67"/>
      <c r="K18" s="67"/>
    </row>
    <row r="19" spans="1:11" x14ac:dyDescent="0.25">
      <c r="A19" s="26">
        <v>18</v>
      </c>
      <c r="B19" s="31"/>
      <c r="C19" s="33"/>
      <c r="D19" s="33"/>
      <c r="E19" s="27">
        <f>'ELEVE 18'!E19</f>
        <v>0</v>
      </c>
      <c r="G19" s="67"/>
      <c r="H19" s="67"/>
      <c r="I19" s="67"/>
      <c r="J19" s="67"/>
      <c r="K19" s="67"/>
    </row>
    <row r="20" spans="1:11" x14ac:dyDescent="0.25">
      <c r="A20" s="26">
        <v>19</v>
      </c>
      <c r="B20" s="31"/>
      <c r="C20" s="33"/>
      <c r="D20" s="33"/>
      <c r="E20" s="27">
        <f>'ELEVE 19'!E19</f>
        <v>0</v>
      </c>
      <c r="G20" s="67"/>
      <c r="H20" s="67"/>
      <c r="I20" s="67"/>
      <c r="J20" s="67"/>
      <c r="K20" s="67"/>
    </row>
    <row r="21" spans="1:11" x14ac:dyDescent="0.25">
      <c r="A21" s="26">
        <v>20</v>
      </c>
      <c r="B21" s="31"/>
      <c r="C21" s="33"/>
      <c r="D21" s="33"/>
      <c r="E21" s="27">
        <f>'ELEVE 20'!E19</f>
        <v>0</v>
      </c>
      <c r="G21" s="67"/>
      <c r="H21" s="67"/>
      <c r="I21" s="67"/>
      <c r="J21" s="67"/>
      <c r="K21" s="67"/>
    </row>
    <row r="22" spans="1:11" x14ac:dyDescent="0.25">
      <c r="A22" s="26">
        <v>21</v>
      </c>
      <c r="B22" s="31"/>
      <c r="C22" s="33"/>
      <c r="D22" s="33"/>
      <c r="E22" s="27">
        <f>'ELEVE 21'!E19</f>
        <v>0</v>
      </c>
      <c r="G22" s="67"/>
      <c r="H22" s="67"/>
      <c r="I22" s="67"/>
      <c r="J22" s="67"/>
      <c r="K22" s="67"/>
    </row>
    <row r="23" spans="1:11" x14ac:dyDescent="0.25">
      <c r="A23" s="26">
        <v>22</v>
      </c>
      <c r="B23" s="31"/>
      <c r="C23" s="33"/>
      <c r="D23" s="33"/>
      <c r="E23" s="27">
        <f>'ELEVE 22'!E19</f>
        <v>0</v>
      </c>
      <c r="G23" s="67"/>
      <c r="H23" s="67"/>
      <c r="I23" s="67"/>
      <c r="J23" s="67"/>
      <c r="K23" s="67"/>
    </row>
    <row r="24" spans="1:11" x14ac:dyDescent="0.25">
      <c r="A24" s="26">
        <v>23</v>
      </c>
      <c r="B24" s="31"/>
      <c r="C24" s="33"/>
      <c r="D24" s="33"/>
      <c r="E24" s="27">
        <f>'ELEVE 23'!E19</f>
        <v>0</v>
      </c>
      <c r="G24" s="67"/>
      <c r="H24" s="67"/>
      <c r="I24" s="67"/>
      <c r="J24" s="67"/>
      <c r="K24" s="67"/>
    </row>
    <row r="25" spans="1:11" x14ac:dyDescent="0.25">
      <c r="A25" s="26">
        <v>24</v>
      </c>
      <c r="B25" s="31"/>
      <c r="C25" s="33"/>
      <c r="D25" s="33"/>
      <c r="E25" s="27">
        <f>'ELEVE 24'!E19</f>
        <v>0</v>
      </c>
      <c r="G25" s="67"/>
      <c r="H25" s="67"/>
      <c r="I25" s="67"/>
      <c r="J25" s="67"/>
      <c r="K25" s="67"/>
    </row>
    <row r="26" spans="1:11" x14ac:dyDescent="0.25">
      <c r="A26" s="26">
        <v>25</v>
      </c>
      <c r="B26" s="31"/>
      <c r="C26" s="33"/>
      <c r="D26" s="33"/>
      <c r="E26" s="27">
        <f>'ELEVE 25'!E19</f>
        <v>0</v>
      </c>
      <c r="G26" s="67"/>
      <c r="H26" s="67"/>
      <c r="I26" s="67"/>
      <c r="J26" s="67"/>
      <c r="K26" s="67"/>
    </row>
    <row r="27" spans="1:11" x14ac:dyDescent="0.25">
      <c r="A27" s="26">
        <v>26</v>
      </c>
      <c r="B27" s="31"/>
      <c r="C27" s="33"/>
      <c r="D27" s="33"/>
      <c r="E27" s="27">
        <f>'ELEVE 26'!E19</f>
        <v>0</v>
      </c>
      <c r="G27" s="67"/>
      <c r="H27" s="67"/>
      <c r="I27" s="67"/>
      <c r="J27" s="67"/>
      <c r="K27" s="67"/>
    </row>
    <row r="28" spans="1:11" x14ac:dyDescent="0.25">
      <c r="A28" s="26">
        <v>27</v>
      </c>
      <c r="B28" s="31"/>
      <c r="C28" s="33"/>
      <c r="D28" s="33"/>
      <c r="E28" s="27">
        <f>'ELEVE 27'!E19</f>
        <v>0</v>
      </c>
      <c r="G28" s="67"/>
      <c r="H28" s="67"/>
      <c r="I28" s="67"/>
      <c r="J28" s="67"/>
      <c r="K28" s="67"/>
    </row>
    <row r="29" spans="1:11" x14ac:dyDescent="0.25">
      <c r="A29" s="26">
        <v>28</v>
      </c>
      <c r="B29" s="31"/>
      <c r="C29" s="33"/>
      <c r="D29" s="33"/>
      <c r="E29" s="27">
        <f>'ELEVE 28'!E19</f>
        <v>0</v>
      </c>
      <c r="G29" s="67"/>
      <c r="H29" s="67"/>
      <c r="I29" s="67"/>
      <c r="J29" s="67"/>
      <c r="K29" s="67"/>
    </row>
    <row r="30" spans="1:11" x14ac:dyDescent="0.25">
      <c r="A30" s="26">
        <v>29</v>
      </c>
      <c r="B30" s="31"/>
      <c r="C30" s="33"/>
      <c r="D30" s="33"/>
      <c r="E30" s="27">
        <f>'ELEVE 29'!E19</f>
        <v>0</v>
      </c>
    </row>
    <row r="31" spans="1:11" x14ac:dyDescent="0.25">
      <c r="A31" s="26">
        <v>30</v>
      </c>
      <c r="B31" s="31"/>
      <c r="C31" s="33"/>
      <c r="D31" s="33"/>
      <c r="E31" s="27">
        <f>'ELEVE 30'!E19</f>
        <v>0</v>
      </c>
    </row>
    <row r="32" spans="1:11" x14ac:dyDescent="0.25">
      <c r="E32" s="25"/>
    </row>
    <row r="33" spans="5:5" x14ac:dyDescent="0.25">
      <c r="E33" s="25"/>
    </row>
    <row r="34" spans="5:5" x14ac:dyDescent="0.25">
      <c r="E34" s="25"/>
    </row>
    <row r="35" spans="5:5" x14ac:dyDescent="0.25">
      <c r="E35" s="25"/>
    </row>
    <row r="36" spans="5:5" x14ac:dyDescent="0.25">
      <c r="E36" s="25"/>
    </row>
    <row r="37" spans="5:5" x14ac:dyDescent="0.25">
      <c r="E37" s="25"/>
    </row>
  </sheetData>
  <sheetProtection algorithmName="SHA-512" hashValue="BK1x/KaZ2GwNHVUhbHJ49HHlgrohk8ghGT6LARsV+xzDq3MmVcp689rTzmeLMHH5fRrUD+ZsynBmHTdu8x/j2g==" saltValue="qB7NDXIU/XYWFg6x6X4iyw==" spinCount="100000" sheet="1" objects="1" scenarios="1"/>
  <mergeCells count="3">
    <mergeCell ref="G5:I10"/>
    <mergeCell ref="G13:K29"/>
    <mergeCell ref="G2:I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0716-F023-4B89-838E-B829FAABFBB8}">
  <sheetPr codeName="Feuil3"/>
  <dimension ref="A1:H27"/>
  <sheetViews>
    <sheetView workbookViewId="0">
      <selection activeCell="E3" sqref="E3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/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/>
      <c r="B6" s="71"/>
      <c r="C6" s="72"/>
      <c r="D6" s="13">
        <f>'synthese '!C2</f>
        <v>0</v>
      </c>
      <c r="E6" s="13">
        <f>'synthese '!D2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59">
        <f>'synthese '!B2</f>
        <v>0</v>
      </c>
      <c r="E8" s="60"/>
    </row>
    <row r="9" spans="1:5" ht="15" customHeight="1" x14ac:dyDescent="0.25">
      <c r="A9" s="54"/>
      <c r="B9" s="74"/>
      <c r="C9" s="9" t="s">
        <v>22</v>
      </c>
      <c r="D9" s="61"/>
      <c r="E9" s="62"/>
    </row>
    <row r="10" spans="1:5" ht="16.5" customHeight="1" x14ac:dyDescent="0.25">
      <c r="A10" s="54"/>
      <c r="B10" s="74"/>
      <c r="C10" s="23"/>
      <c r="D10" s="61"/>
      <c r="E10" s="62"/>
    </row>
    <row r="11" spans="1:5" ht="45.75" customHeight="1" x14ac:dyDescent="0.25">
      <c r="A11" s="55"/>
      <c r="B11" s="75"/>
      <c r="C11" s="19" t="s">
        <v>40</v>
      </c>
      <c r="D11" s="63"/>
      <c r="E11" s="64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sheetProtection selectLockedCells="1"/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B9EF9BD9-0B94-4491-A748-075BF081B707}">
      <formula1>"1 an,2 ans,3 ans,Appr 1an,Appr 2an"</formula1>
    </dataValidation>
    <dataValidation type="list" allowBlank="1" showInputMessage="1" showErrorMessage="1" sqref="C10" xr:uid="{A4A685FE-C55A-4852-B9E7-04526EE2208F}">
      <formula1>"OUI,NON"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EEE1-D02D-435D-941A-FD9F00123B16}">
  <sheetPr codeName="Feuil4"/>
  <dimension ref="A1:H27"/>
  <sheetViews>
    <sheetView workbookViewId="0">
      <selection activeCell="F23" sqref="F23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'!C3</f>
        <v>0</v>
      </c>
      <c r="E6" s="21">
        <f>'synthese '!D3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'!B3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10" xr:uid="{C50486D3-3D67-466D-9B83-F47008088EC9}">
      <formula1>"OUI,NON"</formula1>
    </dataValidation>
    <dataValidation type="list" allowBlank="1" showInputMessage="1" showErrorMessage="1" sqref="C8" xr:uid="{862B6E97-D591-4D5C-A5D3-0E8BA92A125A}">
      <formula1>"1 an,2 ans,3 ans,Appr 1an,Appr 2an"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7404-CD4E-4151-88ED-99298B9D4874}">
  <sheetPr codeName="Feuil5"/>
  <dimension ref="A1:H27"/>
  <sheetViews>
    <sheetView workbookViewId="0">
      <selection activeCell="J14" sqref="J14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'!C4</f>
        <v>0</v>
      </c>
      <c r="E6" s="21">
        <f>'synthese '!D4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'!B4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86280C6E-FBB7-4D41-8AD3-FC8321ABDC85}">
      <formula1>"1 an,2 ans,3 ans,Appr 1an,Appr 2an"</formula1>
    </dataValidation>
    <dataValidation type="list" allowBlank="1" showInputMessage="1" showErrorMessage="1" sqref="C10" xr:uid="{B2E9719E-C58C-4EA7-942D-19B9A32DA4DD}">
      <formula1>"OUI,NON"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8D33-0E3D-492C-87B6-210FCFEF6FCE}">
  <sheetPr codeName="Feuil6"/>
  <dimension ref="A1:H27"/>
  <sheetViews>
    <sheetView workbookViewId="0">
      <selection activeCell="J14" sqref="J14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'!C5</f>
        <v>0</v>
      </c>
      <c r="E6" s="21">
        <f>'synthese '!D5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'!B5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3327051E-8ADA-4C2D-A72A-37BDA231C52D}">
      <formula1>"1 an,2 ans,3 ans,Appr 1an,Appr 2an"</formula1>
    </dataValidation>
    <dataValidation type="list" allowBlank="1" showInputMessage="1" showErrorMessage="1" sqref="C10" xr:uid="{759E63DA-5612-493B-B4B5-D71B8D2D62A5}">
      <formula1>"OUI,NON"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3B67-A2A2-4C06-BF72-96DCAA6B832A}">
  <sheetPr codeName="Feuil7"/>
  <dimension ref="A1:H27"/>
  <sheetViews>
    <sheetView workbookViewId="0">
      <selection activeCell="I12" sqref="I12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'!C6</f>
        <v>0</v>
      </c>
      <c r="E6" s="21">
        <f>'synthese '!D6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'!B6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3584AFA4-B9C6-4F61-A413-90473BEF68C0}">
      <formula1>"1 an,2 ans,3 ans,Appr 1an,Appr 2an"</formula1>
    </dataValidation>
    <dataValidation type="list" allowBlank="1" showInputMessage="1" showErrorMessage="1" sqref="C10" xr:uid="{87EF3279-8009-4C99-AAE7-4B70B814C502}">
      <formula1>"OUI,NON"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BBF2-11D9-496D-B573-7B2CC7C5A572}">
  <sheetPr codeName="Feuil9"/>
  <dimension ref="A1:H27"/>
  <sheetViews>
    <sheetView workbookViewId="0">
      <selection activeCell="J13" sqref="J13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'!C7</f>
        <v>0</v>
      </c>
      <c r="E6" s="21">
        <f>'synthese '!D7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'!B7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8D627C0C-E616-4FC0-AA80-9280A8119D83}">
      <formula1>"1 an,2 ans,3 ans,Appr 1an,Appr 2an"</formula1>
    </dataValidation>
    <dataValidation type="list" allowBlank="1" showInputMessage="1" showErrorMessage="1" sqref="C10" xr:uid="{2680125B-F6B7-4044-970F-DD5B3BD8CA49}">
      <formula1>"OUI,NON"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F765-57CF-44C0-B125-1B727A7676E4}">
  <sheetPr codeName="Feuil10"/>
  <dimension ref="A1:H27"/>
  <sheetViews>
    <sheetView workbookViewId="0">
      <selection activeCell="H12" sqref="H12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'!C8</f>
        <v>0</v>
      </c>
      <c r="E6" s="21">
        <f>'synthese '!D8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'!B8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571EAA4D-1F58-4B09-B76A-A8F47C0FDCC9}">
      <formula1>"1 an,2 ans,3 ans,Appr 1an,Appr 2an"</formula1>
    </dataValidation>
    <dataValidation type="list" allowBlank="1" showInputMessage="1" showErrorMessage="1" sqref="C10" xr:uid="{F1886104-D96A-434F-A771-ACAA2D7985C1}">
      <formula1>"OUI,NON"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92B5-5275-48DE-ACF7-77C0F9FA8490}">
  <sheetPr codeName="Feuil11"/>
  <dimension ref="A1:H27"/>
  <sheetViews>
    <sheetView workbookViewId="0">
      <selection activeCell="I12" sqref="I12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'!C9</f>
        <v>0</v>
      </c>
      <c r="E6" s="21">
        <f>'synthese '!D9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'!B9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3BF9BACF-D94C-4AEE-AD44-3FA841A97D32}">
      <formula1>"1 an,2 ans,3 ans,Appr 1an,Appr 2an"</formula1>
    </dataValidation>
    <dataValidation type="list" allowBlank="1" showInputMessage="1" showErrorMessage="1" sqref="C10" xr:uid="{60CCBA6A-665B-4BFF-9337-0176DFCD1B52}">
      <formula1>"OUI,NON"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15FD-3FE3-4E0C-B22C-6804A8383EB1}">
  <sheetPr codeName="Feuil12"/>
  <dimension ref="A1:H27"/>
  <sheetViews>
    <sheetView workbookViewId="0">
      <selection activeCell="J12" sqref="J12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'!C10</f>
        <v>0</v>
      </c>
      <c r="E6" s="21">
        <f>'synthese '!D10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'!B10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B18F2A8E-B19C-4CF3-9F11-5D2B08EA7D1D}">
      <formula1>"1 an,2 ans,3 ans,Appr 1an,Appr 2an"</formula1>
    </dataValidation>
    <dataValidation type="list" allowBlank="1" showInputMessage="1" showErrorMessage="1" sqref="C10" xr:uid="{A5EA06A7-7221-4A71-95EB-E3F3ECDAB2AE}">
      <formula1>"OUI,NON"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E1E1-F960-4D86-9834-BA7CBA438FA7}">
  <sheetPr codeName="Feuil13"/>
  <dimension ref="A1:H27"/>
  <sheetViews>
    <sheetView workbookViewId="0">
      <selection activeCell="K14" sqref="K14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'!C11</f>
        <v>0</v>
      </c>
      <c r="E6" s="21">
        <f>'synthese '!D11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'!B11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DBD80D71-127F-4260-B04E-B6087F06A5FD}">
      <formula1>"1 an,2 ans,3 ans,Appr 1an,Appr 2an"</formula1>
    </dataValidation>
    <dataValidation type="list" allowBlank="1" showInputMessage="1" showErrorMessage="1" sqref="C10" xr:uid="{57104393-8656-4210-81B5-F9CBF271E2DB}">
      <formula1>"OUI,NON"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A4CD-0EA6-4B72-8152-F3A529F33477}">
  <sheetPr codeName="Feuil14"/>
  <dimension ref="A1:H27"/>
  <sheetViews>
    <sheetView workbookViewId="0">
      <selection activeCell="H12" sqref="H12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'!C12</f>
        <v>0</v>
      </c>
      <c r="E6" s="21">
        <f>'synthese '!D12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'!B12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6113EBB4-A5A0-458A-AE78-D7C9EC3EF71E}">
      <formula1>"1 an,2 ans,3 ans,Appr 1an,Appr 2an"</formula1>
    </dataValidation>
    <dataValidation type="list" allowBlank="1" showInputMessage="1" showErrorMessage="1" sqref="C10" xr:uid="{ED2652B9-A9D1-41AC-B918-DFA79B962127}">
      <formula1>"OUI,NON"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220B-F469-4A64-9DCB-45A9B73C65B5}">
  <sheetPr codeName="Feuil15"/>
  <dimension ref="A1:H27"/>
  <sheetViews>
    <sheetView workbookViewId="0">
      <selection activeCell="I14" sqref="I14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'!C13</f>
        <v>0</v>
      </c>
      <c r="E6" s="21">
        <f>'synthese '!D13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'!B13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C7F001FD-1676-453C-B547-690E09150AEF}">
      <formula1>"1 an,2 ans,3 ans,Appr 1an,Appr 2an"</formula1>
    </dataValidation>
    <dataValidation type="list" allowBlank="1" showInputMessage="1" showErrorMessage="1" sqref="C10" xr:uid="{F495FA50-9F6A-41FE-92D2-0CBAA1F46F58}">
      <formula1>"OUI,NON"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5E73-A088-43FC-907F-C128052A3CD8}">
  <sheetPr codeName="Feuil16"/>
  <dimension ref="A1:H27"/>
  <sheetViews>
    <sheetView workbookViewId="0">
      <selection activeCell="D12" sqref="D12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'!C14</f>
        <v>0</v>
      </c>
      <c r="E6" s="21">
        <f>'synthese '!D14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'!B14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99A7A8A8-8E22-4FA4-B3AD-BB4B2474750F}">
      <formula1>"1 an,2 ans,3 ans,Appr 1an,Appr 2an"</formula1>
    </dataValidation>
    <dataValidation type="list" allowBlank="1" showInputMessage="1" showErrorMessage="1" sqref="C10" xr:uid="{EA0C0202-36B8-44E7-B8A6-3D6EE51AFACF}">
      <formula1>"OUI,NON"</formula1>
    </dataValidation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309A-BAAE-4E4E-B551-1B25DDF744FC}">
  <sheetPr codeName="Feuil17"/>
  <dimension ref="A1:H27"/>
  <sheetViews>
    <sheetView workbookViewId="0">
      <selection activeCell="H12" sqref="H12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'!C15</f>
        <v>0</v>
      </c>
      <c r="E6" s="21">
        <f>'synthese '!D15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'!B15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D99DD506-6B01-4FDF-9CAF-A03B4F8D99D8}">
      <formula1>"1 an,2 ans,3 ans,Appr 1an,Appr 2an"</formula1>
    </dataValidation>
    <dataValidation type="list" allowBlank="1" showInputMessage="1" showErrorMessage="1" sqref="C10" xr:uid="{DB5A5BE4-CE38-4235-BA4F-62E86ACBA2C7}">
      <formula1>"OUI,NON"</formula1>
    </dataValidation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190C-1FD7-470B-813A-779CF2775A95}">
  <sheetPr codeName="Feuil18"/>
  <dimension ref="A1:H27"/>
  <sheetViews>
    <sheetView workbookViewId="0">
      <selection activeCell="E6" sqref="E6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'!C16</f>
        <v>0</v>
      </c>
      <c r="E6" s="21">
        <f>'synthese '!D16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'!B16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1A15C982-43BB-412A-A9CA-AB752DA37FD2}">
      <formula1>"1 an,2 ans,3 ans,Appr 1an,Appr 2an"</formula1>
    </dataValidation>
    <dataValidation type="list" allowBlank="1" showInputMessage="1" showErrorMessage="1" sqref="C10" xr:uid="{FCDA02E6-32AE-4BA7-9EAA-FF684B30EA2A}">
      <formula1>"OUI,NON"</formula1>
    </dataValidation>
  </dataValidation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CB8B-E302-42D6-A5C2-678B9D5701B1}">
  <sheetPr codeName="Feuil19"/>
  <dimension ref="A1:H27"/>
  <sheetViews>
    <sheetView workbookViewId="0">
      <selection activeCell="I11" sqref="I11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'!C17</f>
        <v>0</v>
      </c>
      <c r="E6" s="21">
        <f>'synthese '!D17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'!B17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7A32A4B3-28D6-44A8-802E-69AFF2437FFE}">
      <formula1>"1 an,2 ans,3 ans,Appr 1an,Appr 2an"</formula1>
    </dataValidation>
    <dataValidation type="list" allowBlank="1" showInputMessage="1" showErrorMessage="1" sqref="C10" xr:uid="{3AEC8910-30E8-43D3-A03D-891963EC3163}">
      <formula1>"OUI,NON"</formula1>
    </dataValidation>
  </dataValidation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23A5-B050-47D8-A784-9015EC8C720D}">
  <sheetPr codeName="Feuil20"/>
  <dimension ref="A1:H27"/>
  <sheetViews>
    <sheetView workbookViewId="0">
      <selection activeCell="I13" sqref="I13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'!C18</f>
        <v>0</v>
      </c>
      <c r="E6" s="21">
        <f>'synthese '!D18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'!B18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4136F51D-BC87-45BF-969B-E46C334F1CAD}">
      <formula1>"1 an,2 ans,3 ans,Appr 1an,Appr 2an"</formula1>
    </dataValidation>
    <dataValidation type="list" allowBlank="1" showInputMessage="1" showErrorMessage="1" sqref="C10" xr:uid="{1D9F7ECA-538E-4E40-9B2B-852F88B318E6}">
      <formula1>"OUI,NON"</formula1>
    </dataValidation>
  </dataValidation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FC69-FB75-4320-BF84-10B0DE904CAC}">
  <sheetPr codeName="Feuil21"/>
  <dimension ref="A1:H27"/>
  <sheetViews>
    <sheetView tabSelected="1" workbookViewId="0">
      <selection activeCell="H13" sqref="H13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'!C19</f>
        <v>0</v>
      </c>
      <c r="E6" s="21">
        <f>'synthese '!D19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'!B19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DF28B5A6-69F7-4DE5-914F-555A29402C9C}">
      <formula1>"1 an,2 ans,3 ans,Appr 1an,Appr 2an"</formula1>
    </dataValidation>
    <dataValidation type="list" allowBlank="1" showInputMessage="1" showErrorMessage="1" sqref="C10" xr:uid="{E39A3BC2-4848-4368-8D75-736FA4BD63BF}">
      <formula1>"OUI,NON"</formula1>
    </dataValidation>
  </dataValidation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1FF2-CCF2-4B8C-8034-83C6C8148D28}">
  <sheetPr codeName="Feuil22"/>
  <dimension ref="A1:H27"/>
  <sheetViews>
    <sheetView topLeftCell="A9" workbookViewId="0">
      <selection activeCell="E19" sqref="E19:E23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'!C20</f>
        <v>0</v>
      </c>
      <c r="E6" s="21">
        <f>'synthese '!D20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'!B20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A382A2A5-DD42-490C-840C-84D18251C13C}">
      <formula1>"1 an,2 ans,3 ans,Appr 1an,Appr 2an"</formula1>
    </dataValidation>
    <dataValidation type="list" allowBlank="1" showInputMessage="1" showErrorMessage="1" sqref="C10" xr:uid="{6B57C7DC-160A-47D7-A7FA-57AAE8F85CB6}">
      <formula1>"OUI,NON"</formula1>
    </dataValidation>
  </dataValidation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7255-F538-44DF-AE36-4631F62EF005}">
  <sheetPr codeName="Feuil23"/>
  <dimension ref="A1:H27"/>
  <sheetViews>
    <sheetView workbookViewId="0">
      <selection activeCell="J15" sqref="J15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'!C21</f>
        <v>0</v>
      </c>
      <c r="E6" s="21">
        <f>'synthese '!D21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'!B21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16414933-EF66-4988-A47F-2D695080BFCA}">
      <formula1>"1 an,2 ans,3 ans,Appr 1an,Appr 2an"</formula1>
    </dataValidation>
    <dataValidation type="list" allowBlank="1" showInputMessage="1" showErrorMessage="1" sqref="C10" xr:uid="{771D407C-E866-4D38-A02E-6A4CA8D55926}">
      <formula1>"OUI,NON"</formula1>
    </dataValidation>
  </dataValidation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4F6F-B2D0-4F7E-81E2-ED937D104220}">
  <sheetPr codeName="Feuil24"/>
  <dimension ref="A1:H27"/>
  <sheetViews>
    <sheetView workbookViewId="0">
      <selection activeCell="J13" sqref="J13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'!C22</f>
        <v>0</v>
      </c>
      <c r="E6" s="21">
        <f>'synthese '!D22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'!B22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1C53C49C-76FA-4CF9-BEE3-CBB889406A04}">
      <formula1>"1 an,2 ans,3 ans,Appr 1an,Appr 2an"</formula1>
    </dataValidation>
    <dataValidation type="list" allowBlank="1" showInputMessage="1" showErrorMessage="1" sqref="C10" xr:uid="{070E1C75-4F64-476D-9235-9C67EBFCC548}">
      <formula1>"OUI,NON"</formula1>
    </dataValidation>
  </dataValidation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ACB6-FEDD-4523-A186-560F9A08CC3D}">
  <sheetPr codeName="Feuil25"/>
  <dimension ref="A1:H27"/>
  <sheetViews>
    <sheetView workbookViewId="0">
      <selection activeCell="H13" sqref="H13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'!C23</f>
        <v>0</v>
      </c>
      <c r="E6" s="21">
        <f>'synthese '!D23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'!B23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9332551E-7B0B-4306-9657-976306F7D087}">
      <formula1>"1 an,2 ans,3 ans,Appr 1an,Appr 2an"</formula1>
    </dataValidation>
    <dataValidation type="list" allowBlank="1" showInputMessage="1" showErrorMessage="1" sqref="C10" xr:uid="{31861F5C-6E36-472C-8FEA-8DA658465673}">
      <formula1>"OUI,NON"</formula1>
    </dataValidation>
  </dataValidation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29FA-CF07-4A8F-A385-F13D634B5F7B}">
  <sheetPr codeName="Feuil26"/>
  <dimension ref="A1:H27"/>
  <sheetViews>
    <sheetView workbookViewId="0">
      <selection activeCell="H13" sqref="H13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'!C24</f>
        <v>0</v>
      </c>
      <c r="E6" s="21">
        <f>'synthese '!D24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'!B24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BF37C90F-6E13-418C-9A84-7E2D6D61EA6F}">
      <formula1>"1 an,2 ans,3 ans,Appr 1an,Appr 2an"</formula1>
    </dataValidation>
    <dataValidation type="list" allowBlank="1" showInputMessage="1" showErrorMessage="1" sqref="C10" xr:uid="{BEDDAC9C-4509-41D4-A5C0-FE8C1BAA94A3}">
      <formula1>"OUI,NON"</formula1>
    </dataValidation>
  </dataValidation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7A89-18F5-41FA-94CF-FE60DEDA0588}">
  <sheetPr codeName="Feuil27"/>
  <dimension ref="A1:H27"/>
  <sheetViews>
    <sheetView workbookViewId="0">
      <selection activeCell="J13" sqref="J13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'!C25</f>
        <v>0</v>
      </c>
      <c r="E6" s="21">
        <f>'synthese '!D25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'!B25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C894FD6E-DD2F-462B-95F7-FBE9EB6CF050}">
      <formula1>"1 an,2 ans,3 ans,Appr 1an,Appr 2an"</formula1>
    </dataValidation>
    <dataValidation type="list" allowBlank="1" showInputMessage="1" showErrorMessage="1" sqref="C10" xr:uid="{8F4D7C31-15C0-485D-86CE-0BDC5182C76E}">
      <formula1>"OUI,NON"</formula1>
    </dataValidation>
  </dataValidation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00DF-9AC0-454A-A8CC-F44E1DA1640F}">
  <sheetPr codeName="Feuil28"/>
  <dimension ref="A1:H27"/>
  <sheetViews>
    <sheetView workbookViewId="0">
      <selection activeCell="J15" sqref="J15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'!C26</f>
        <v>0</v>
      </c>
      <c r="E6" s="21">
        <f>'synthese '!D26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'!B26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29519F77-E9CC-433F-8AB4-404E80A88D4B}">
      <formula1>"1 an,2 ans,3 ans,Appr 1an,Appr 2an"</formula1>
    </dataValidation>
    <dataValidation type="list" allowBlank="1" showInputMessage="1" showErrorMessage="1" sqref="C10" xr:uid="{8DCFAACD-F8B4-4685-905D-A13B0D16E619}">
      <formula1>"OUI,NON"</formula1>
    </dataValidation>
  </dataValidation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8FFA-E132-4980-A008-18E6BCBC69BE}">
  <sheetPr codeName="Feuil29"/>
  <dimension ref="A1:H27"/>
  <sheetViews>
    <sheetView workbookViewId="0">
      <selection activeCell="K16" sqref="K16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'!C27</f>
        <v>0</v>
      </c>
      <c r="E6" s="21">
        <f>'synthese '!D27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'!B27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476755E4-9D2A-44EB-B4D8-13C2636772EC}">
      <formula1>"1 an,2 ans,3 ans,Appr 1an,Appr 2an"</formula1>
    </dataValidation>
    <dataValidation type="list" allowBlank="1" showInputMessage="1" showErrorMessage="1" sqref="C10" xr:uid="{5B921B56-49D7-44B2-9E50-7A369E8FE11F}">
      <formula1>"OUI,NON"</formula1>
    </dataValidation>
  </dataValidation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7FF4-6A4F-46FE-A831-A6B64D801DC9}">
  <sheetPr codeName="Feuil30"/>
  <dimension ref="A1:H27"/>
  <sheetViews>
    <sheetView workbookViewId="0">
      <selection activeCell="D8" sqref="D8:E11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'!C28</f>
        <v>0</v>
      </c>
      <c r="E6" s="21">
        <f>'synthese '!D28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'!B28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10" xr:uid="{8F9F82CA-CD42-4C39-A770-1A8C85474A0C}">
      <formula1>"OUI,NON"</formula1>
    </dataValidation>
    <dataValidation type="list" allowBlank="1" showInputMessage="1" showErrorMessage="1" sqref="C8" xr:uid="{269415D8-1A86-4FE9-8FD6-1073B44D2835}">
      <formula1>"1 an,2 ans,3 ans,Appr 1an,Appr 2an"</formula1>
    </dataValidation>
  </dataValidation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6469-6FAE-4491-990A-637F684EB766}">
  <sheetPr codeName="Feuil31"/>
  <dimension ref="A1:H27"/>
  <sheetViews>
    <sheetView workbookViewId="0">
      <selection activeCell="F13" sqref="F13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'!C29</f>
        <v>0</v>
      </c>
      <c r="E6" s="21">
        <f>'synthese '!D29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'!B29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E95C475B-3D86-4613-95A8-352FD6C66D0F}">
      <formula1>"1 an,2 ans,3 ans,Appr 1an,Appr 2an"</formula1>
    </dataValidation>
    <dataValidation type="list" allowBlank="1" showInputMessage="1" showErrorMessage="1" sqref="C10" xr:uid="{5EBD3D2D-51B1-4704-B349-989A153F6B87}">
      <formula1>"OUI,NON"</formula1>
    </dataValidation>
  </dataValidation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742B-2FB1-4BE6-B0D1-882F83095260}">
  <sheetPr codeName="Feuil32"/>
  <dimension ref="A1:H27"/>
  <sheetViews>
    <sheetView workbookViewId="0">
      <selection activeCell="D8" sqref="D8:E11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'!C30</f>
        <v>0</v>
      </c>
      <c r="E6" s="21">
        <f>'synthese '!D30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'!B30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6484CC82-5156-4F97-B948-B5EE9D49E1F1}">
      <formula1>"1 an,2 ans,3 ans,Appr 1an,Appr 2an"</formula1>
    </dataValidation>
    <dataValidation type="list" allowBlank="1" showInputMessage="1" showErrorMessage="1" sqref="C10" xr:uid="{FAC8E75E-217B-4A0C-B50B-AE049B785481}">
      <formula1>"OUI,NON"</formula1>
    </dataValidation>
  </dataValidation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79DF-2B38-4D4B-8593-5F0C7B29E599}">
  <sheetPr codeName="Feuil33"/>
  <dimension ref="A1:H27"/>
  <sheetViews>
    <sheetView workbookViewId="0">
      <selection activeCell="H15" sqref="H15"/>
    </sheetView>
  </sheetViews>
  <sheetFormatPr baseColWidth="10" defaultRowHeight="15" x14ac:dyDescent="0.25"/>
  <cols>
    <col min="1" max="1" width="24.42578125" customWidth="1"/>
    <col min="2" max="2" width="22.5703125" customWidth="1"/>
    <col min="3" max="3" width="35.5703125" customWidth="1"/>
    <col min="4" max="4" width="21.85546875" customWidth="1"/>
    <col min="5" max="5" width="23.140625" customWidth="1"/>
  </cols>
  <sheetData>
    <row r="1" spans="1:5" x14ac:dyDescent="0.25">
      <c r="A1" s="40" t="s">
        <v>15</v>
      </c>
      <c r="B1" s="41"/>
      <c r="C1" s="41"/>
      <c r="D1" s="41"/>
      <c r="E1" s="41"/>
    </row>
    <row r="2" spans="1:5" x14ac:dyDescent="0.25">
      <c r="A2" s="41"/>
      <c r="B2" s="41"/>
      <c r="C2" s="41"/>
      <c r="D2" s="41"/>
      <c r="E2" s="41"/>
    </row>
    <row r="3" spans="1:5" x14ac:dyDescent="0.25">
      <c r="A3" s="6" t="s">
        <v>13</v>
      </c>
      <c r="B3" s="69">
        <f>'ELEVE 1'!B3</f>
        <v>0</v>
      </c>
      <c r="C3" s="69"/>
      <c r="D3" s="11" t="s">
        <v>14</v>
      </c>
      <c r="E3" s="12">
        <v>2026</v>
      </c>
    </row>
    <row r="4" spans="1:5" x14ac:dyDescent="0.25">
      <c r="A4" s="43" t="s">
        <v>16</v>
      </c>
      <c r="B4" s="43"/>
      <c r="C4" s="43"/>
      <c r="D4" s="43"/>
      <c r="E4" s="43"/>
    </row>
    <row r="5" spans="1:5" x14ac:dyDescent="0.25">
      <c r="A5" s="44" t="s">
        <v>17</v>
      </c>
      <c r="B5" s="44"/>
      <c r="C5" s="44"/>
      <c r="D5" s="45" t="s">
        <v>18</v>
      </c>
      <c r="E5" s="46"/>
    </row>
    <row r="6" spans="1:5" ht="42" customHeight="1" x14ac:dyDescent="0.25">
      <c r="A6" s="70">
        <f>'ELEVE 1'!A6</f>
        <v>0</v>
      </c>
      <c r="B6" s="71"/>
      <c r="C6" s="72"/>
      <c r="D6" s="21">
        <f>'synthese '!C31</f>
        <v>0</v>
      </c>
      <c r="E6" s="21">
        <f>'synthese '!D31</f>
        <v>0</v>
      </c>
    </row>
    <row r="7" spans="1:5" ht="15" customHeight="1" x14ac:dyDescent="0.25">
      <c r="A7" s="53" t="s">
        <v>39</v>
      </c>
      <c r="B7" s="73"/>
      <c r="C7" s="7" t="s">
        <v>21</v>
      </c>
      <c r="D7" s="45" t="s">
        <v>19</v>
      </c>
      <c r="E7" s="46"/>
    </row>
    <row r="8" spans="1:5" ht="15" customHeight="1" x14ac:dyDescent="0.25">
      <c r="A8" s="54"/>
      <c r="B8" s="74"/>
      <c r="C8" s="22"/>
      <c r="D8" s="76">
        <f>'synthese '!B31</f>
        <v>0</v>
      </c>
      <c r="E8" s="77"/>
    </row>
    <row r="9" spans="1:5" ht="15" customHeight="1" x14ac:dyDescent="0.25">
      <c r="A9" s="54"/>
      <c r="B9" s="74"/>
      <c r="C9" s="9" t="s">
        <v>22</v>
      </c>
      <c r="D9" s="78"/>
      <c r="E9" s="79"/>
    </row>
    <row r="10" spans="1:5" ht="16.5" customHeight="1" x14ac:dyDescent="0.25">
      <c r="A10" s="54"/>
      <c r="B10" s="74"/>
      <c r="C10" s="23"/>
      <c r="D10" s="78"/>
      <c r="E10" s="79"/>
    </row>
    <row r="11" spans="1:5" ht="45.75" customHeight="1" x14ac:dyDescent="0.25">
      <c r="A11" s="55"/>
      <c r="B11" s="75"/>
      <c r="C11" s="19" t="s">
        <v>40</v>
      </c>
      <c r="D11" s="80"/>
      <c r="E11" s="81"/>
    </row>
    <row r="12" spans="1:5" ht="60" x14ac:dyDescent="0.25">
      <c r="A12" s="5" t="s">
        <v>35</v>
      </c>
      <c r="B12" s="5" t="s">
        <v>36</v>
      </c>
      <c r="C12" s="1" t="s">
        <v>9</v>
      </c>
      <c r="D12" s="1" t="s">
        <v>27</v>
      </c>
      <c r="E12" s="3" t="s">
        <v>28</v>
      </c>
    </row>
    <row r="13" spans="1:5" ht="35.1" customHeight="1" x14ac:dyDescent="0.25">
      <c r="A13" s="24"/>
      <c r="B13" s="24"/>
      <c r="C13" s="28"/>
      <c r="D13" s="30"/>
      <c r="E13" s="50">
        <f>SUM(D13:D181)</f>
        <v>0</v>
      </c>
    </row>
    <row r="14" spans="1:5" ht="35.1" customHeight="1" x14ac:dyDescent="0.25">
      <c r="A14" s="24"/>
      <c r="B14" s="24"/>
      <c r="C14" s="29"/>
      <c r="D14" s="30"/>
      <c r="E14" s="51"/>
    </row>
    <row r="15" spans="1:5" ht="35.1" customHeight="1" x14ac:dyDescent="0.25">
      <c r="A15" s="24"/>
      <c r="B15" s="24"/>
      <c r="C15" s="29"/>
      <c r="D15" s="30"/>
      <c r="E15" s="51"/>
    </row>
    <row r="16" spans="1:5" ht="35.1" customHeight="1" x14ac:dyDescent="0.25">
      <c r="A16" s="24"/>
      <c r="B16" s="24"/>
      <c r="C16" s="29"/>
      <c r="D16" s="30"/>
      <c r="E16" s="51"/>
    </row>
    <row r="17" spans="1:8" ht="35.1" customHeight="1" x14ac:dyDescent="0.25">
      <c r="A17" s="24"/>
      <c r="B17" s="24"/>
      <c r="C17" s="29"/>
      <c r="D17" s="30"/>
      <c r="E17" s="52"/>
    </row>
    <row r="18" spans="1:8" ht="35.1" customHeight="1" x14ac:dyDescent="0.25">
      <c r="A18" s="24"/>
      <c r="B18" s="24"/>
      <c r="C18" s="29"/>
      <c r="D18" s="30"/>
      <c r="E18" s="3" t="s">
        <v>41</v>
      </c>
    </row>
    <row r="19" spans="1:8" ht="35.1" customHeight="1" x14ac:dyDescent="0.25">
      <c r="A19" s="24"/>
      <c r="B19" s="24"/>
      <c r="C19" s="29"/>
      <c r="D19" s="30"/>
      <c r="E19" s="39">
        <f>E13/5</f>
        <v>0</v>
      </c>
    </row>
    <row r="20" spans="1:8" ht="35.1" customHeight="1" x14ac:dyDescent="0.25">
      <c r="A20" s="24"/>
      <c r="B20" s="24"/>
      <c r="C20" s="29"/>
      <c r="D20" s="30"/>
      <c r="E20" s="39"/>
      <c r="H20" s="20"/>
    </row>
    <row r="21" spans="1:8" ht="35.1" customHeight="1" x14ac:dyDescent="0.25">
      <c r="A21" s="24"/>
      <c r="B21" s="24"/>
      <c r="C21" s="29"/>
      <c r="D21" s="30"/>
      <c r="E21" s="39"/>
    </row>
    <row r="22" spans="1:8" ht="35.1" customHeight="1" x14ac:dyDescent="0.25">
      <c r="A22" s="24"/>
      <c r="B22" s="24"/>
      <c r="C22" s="29"/>
      <c r="D22" s="30"/>
      <c r="E22" s="39"/>
    </row>
    <row r="23" spans="1:8" ht="35.1" customHeight="1" x14ac:dyDescent="0.25">
      <c r="A23" s="24"/>
      <c r="B23" s="24"/>
      <c r="C23" s="29"/>
      <c r="D23" s="30"/>
      <c r="E23" s="39"/>
    </row>
    <row r="24" spans="1:8" ht="35.1" customHeight="1" x14ac:dyDescent="0.25">
      <c r="A24" s="4"/>
      <c r="B24" s="4"/>
    </row>
    <row r="25" spans="1:8" ht="35.1" customHeight="1" x14ac:dyDescent="0.25">
      <c r="A25" s="4"/>
      <c r="B25" s="4"/>
    </row>
    <row r="26" spans="1:8" ht="35.1" customHeight="1" x14ac:dyDescent="0.25">
      <c r="A26" s="4"/>
      <c r="B26" s="4"/>
    </row>
    <row r="27" spans="1:8" ht="35.1" customHeight="1" x14ac:dyDescent="0.25">
      <c r="A27" s="4"/>
      <c r="B27" s="4"/>
    </row>
  </sheetData>
  <mergeCells count="12">
    <mergeCell ref="E19:E23"/>
    <mergeCell ref="A1:E2"/>
    <mergeCell ref="B3:C3"/>
    <mergeCell ref="A4:E4"/>
    <mergeCell ref="A5:C5"/>
    <mergeCell ref="D5:E5"/>
    <mergeCell ref="A6:C6"/>
    <mergeCell ref="A7:A11"/>
    <mergeCell ref="B7:B11"/>
    <mergeCell ref="D7:E7"/>
    <mergeCell ref="D8:E11"/>
    <mergeCell ref="E13:E17"/>
  </mergeCells>
  <dataValidations count="2">
    <dataValidation type="list" allowBlank="1" showInputMessage="1" showErrorMessage="1" sqref="C8" xr:uid="{5FFBFE8F-A529-4576-B9BB-E51707338673}">
      <formula1>"1 an,2 ans,3 ans,Appr 1an,Appr 2an"</formula1>
    </dataValidation>
    <dataValidation type="list" allowBlank="1" showInputMessage="1" showErrorMessage="1" sqref="C10" xr:uid="{42329AF8-EC85-434C-95ED-FFE3CE1909AE}">
      <formula1>"OUI,NON"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33</vt:i4>
      </vt:variant>
    </vt:vector>
  </HeadingPairs>
  <TitlesOfParts>
    <vt:vector size="33" baseType="lpstr">
      <vt:lpstr>PAGE DE GARDE </vt:lpstr>
      <vt:lpstr>MODELE </vt:lpstr>
      <vt:lpstr>synthese </vt:lpstr>
      <vt:lpstr>ELEVE 1</vt:lpstr>
      <vt:lpstr>ELEVE 2</vt:lpstr>
      <vt:lpstr>ELEVE 3</vt:lpstr>
      <vt:lpstr>ELEVE 4</vt:lpstr>
      <vt:lpstr>ELEVE 5</vt:lpstr>
      <vt:lpstr>ELEVE 6</vt:lpstr>
      <vt:lpstr>ELEVE 7</vt:lpstr>
      <vt:lpstr>ELEVE 8</vt:lpstr>
      <vt:lpstr>ELEVE 9</vt:lpstr>
      <vt:lpstr>ELEVE 10</vt:lpstr>
      <vt:lpstr>ELEVE 11</vt:lpstr>
      <vt:lpstr>ELEVE 12</vt:lpstr>
      <vt:lpstr>ELEVE 13</vt:lpstr>
      <vt:lpstr>ELEVE 14</vt:lpstr>
      <vt:lpstr>ELEVE 15</vt:lpstr>
      <vt:lpstr>ELEVE 16</vt:lpstr>
      <vt:lpstr>ELEVE 17</vt:lpstr>
      <vt:lpstr>ELEVE 18</vt:lpstr>
      <vt:lpstr>ELEVE 19</vt:lpstr>
      <vt:lpstr>ELEVE 20</vt:lpstr>
      <vt:lpstr>ELEVE 21</vt:lpstr>
      <vt:lpstr>ELEVE 22</vt:lpstr>
      <vt:lpstr>ELEVE 23</vt:lpstr>
      <vt:lpstr>ELEVE 24</vt:lpstr>
      <vt:lpstr>ELEVE 25</vt:lpstr>
      <vt:lpstr>ELEVE 26</vt:lpstr>
      <vt:lpstr>ELEVE 27</vt:lpstr>
      <vt:lpstr>ELEVE 28</vt:lpstr>
      <vt:lpstr>ELEVE 29</vt:lpstr>
      <vt:lpstr>ELEVE 30</vt:lpstr>
    </vt:vector>
  </TitlesOfParts>
  <Company>CRIF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DEGUIL</dc:creator>
  <cp:lastModifiedBy>nathalie.deguil2</cp:lastModifiedBy>
  <dcterms:created xsi:type="dcterms:W3CDTF">2023-10-17T12:35:30Z</dcterms:created>
  <dcterms:modified xsi:type="dcterms:W3CDTF">2025-11-27T11:03:52Z</dcterms:modified>
</cp:coreProperties>
</file>